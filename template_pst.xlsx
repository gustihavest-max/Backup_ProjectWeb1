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InkAnnotation="0"/>
  <mc:AlternateContent xmlns:mc="http://schemas.openxmlformats.org/markup-compatibility/2006">
    <mc:Choice Requires="x15">
      <x15ac:absPath xmlns:x15ac="http://schemas.microsoft.com/office/spreadsheetml/2010/11/ac" url="D:\#Project_Web\Website_E-Perjadin\"/>
    </mc:Choice>
  </mc:AlternateContent>
  <xr:revisionPtr revIDLastSave="0" documentId="8_{C809A6F9-CB9B-4E35-ADC2-14C1DB5B745B}" xr6:coauthVersionLast="47" xr6:coauthVersionMax="47" xr10:uidLastSave="{00000000-0000-0000-0000-000000000000}"/>
  <bookViews>
    <workbookView xWindow="-110" yWindow="-110" windowWidth="19420" windowHeight="10300" activeTab="2" xr2:uid="{90350066-7765-4977-A66B-164B7EBDC2B4}"/>
  </bookViews>
  <sheets>
    <sheet name="Surat Tugas" sheetId="3" r:id="rId1"/>
    <sheet name="Permohonan Perjadin" sheetId="2" r:id="rId2"/>
    <sheet name="Lampiran" sheetId="1" r:id="rId3"/>
  </sheets>
  <definedNames>
    <definedName name="_GoBack" localSheetId="0">'Surat Tugas'!#REF!</definedName>
    <definedName name="_xlnm.Print_Area" localSheetId="2">Lampiran!$A$1:$P$24</definedName>
    <definedName name="_xlnm.Print_Area" localSheetId="0">'Surat Tugas'!$A$1:$H$48</definedName>
  </definedNames>
  <calcPr calcId="181029"/>
</workbook>
</file>

<file path=xl/calcChain.xml><?xml version="1.0" encoding="utf-8"?>
<calcChain xmlns="http://schemas.openxmlformats.org/spreadsheetml/2006/main">
  <c r="B9" i="1" l="1"/>
  <c r="D9" i="1"/>
  <c r="E9" i="1"/>
  <c r="F9" i="1"/>
  <c r="J9" i="1"/>
  <c r="O9" i="1"/>
  <c r="P9" i="1"/>
  <c r="B10" i="1"/>
  <c r="D10" i="1"/>
  <c r="E10" i="1"/>
  <c r="F10" i="1"/>
  <c r="H10" i="1"/>
  <c r="J10" i="1"/>
  <c r="L10" i="1"/>
  <c r="P10" i="1"/>
  <c r="J14" i="1"/>
  <c r="K14" i="1"/>
  <c r="L14" i="1"/>
  <c r="M14" i="1"/>
  <c r="O14" i="1"/>
  <c r="P14" i="1"/>
  <c r="N16" i="1"/>
  <c r="B23" i="1"/>
  <c r="N23" i="1"/>
  <c r="B24" i="1"/>
  <c r="N24" i="1"/>
  <c r="C22" i="3"/>
  <c r="D22" i="3"/>
  <c r="G22" i="3"/>
  <c r="C23" i="3"/>
  <c r="D23" i="3"/>
  <c r="G23" i="3"/>
  <c r="E30" i="3"/>
  <c r="E31" i="3"/>
  <c r="E32" i="3"/>
  <c r="G32" i="3"/>
  <c r="E34" i="3"/>
  <c r="G40" i="3"/>
</calcChain>
</file>

<file path=xl/sharedStrings.xml><?xml version="1.0" encoding="utf-8"?>
<sst xmlns="http://schemas.openxmlformats.org/spreadsheetml/2006/main" count="149" uniqueCount="116">
  <si>
    <t>DAFTAR  NOMINATIF</t>
  </si>
  <si>
    <t>JUDUL KEGIATAN  :</t>
  </si>
  <si>
    <t>NO.</t>
  </si>
  <si>
    <t>NAMA</t>
  </si>
  <si>
    <t>Pemb.</t>
  </si>
  <si>
    <t>Tujuan</t>
  </si>
  <si>
    <t>Tanggal</t>
  </si>
  <si>
    <t xml:space="preserve">Tanggal </t>
  </si>
  <si>
    <t>Lama</t>
  </si>
  <si>
    <t>Satuan</t>
  </si>
  <si>
    <t>Jumlah</t>
  </si>
  <si>
    <t>Tiket /</t>
  </si>
  <si>
    <t>Transpot Lokasi</t>
  </si>
  <si>
    <t>Penginapan</t>
  </si>
  <si>
    <t>Uang</t>
  </si>
  <si>
    <t>Total</t>
  </si>
  <si>
    <t>M A K</t>
  </si>
  <si>
    <t>Berangkat</t>
  </si>
  <si>
    <t>Kembali</t>
  </si>
  <si>
    <t>Perjal</t>
  </si>
  <si>
    <t>Repre</t>
  </si>
  <si>
    <t>524111</t>
  </si>
  <si>
    <t>Hari</t>
  </si>
  <si>
    <t>Menyetujui</t>
  </si>
  <si>
    <t>Pejabat Pembuat Komitmen</t>
  </si>
  <si>
    <t>Pemohon</t>
  </si>
  <si>
    <t>Penanggung  Jawab Kegiatan/</t>
  </si>
  <si>
    <t xml:space="preserve">KEMENTERIAN PERTANIAN </t>
  </si>
  <si>
    <t>BADAN PERAKITAN DAN MODERNISASI PERTANIAN</t>
  </si>
  <si>
    <t>PUSAT PERAKITAN DAN MODERNISASI PERTANIAN PERKEBUNAN</t>
  </si>
  <si>
    <t xml:space="preserve">JALAN TENTARA PELAJAR NOMOR 1 BOGOR 16111 </t>
  </si>
  <si>
    <t>TELEPON (0251) 8384105</t>
  </si>
  <si>
    <t>WEBSITE: perkebunan.brmp.pertanian.go.id E-MAIL: brmp.perkebunan@pertanian.go.id</t>
  </si>
  <si>
    <t>Mohon dengan hormat untuk mendapat  SURAT  PERJALANAN DINAS  (SPD) atas nama sbb :</t>
  </si>
  <si>
    <t>No</t>
  </si>
  <si>
    <t>Nama</t>
  </si>
  <si>
    <t>Jabatan</t>
  </si>
  <si>
    <t>Pangkat /</t>
  </si>
  <si>
    <t>Golongan</t>
  </si>
  <si>
    <t>1.</t>
  </si>
  <si>
    <t>2.</t>
  </si>
  <si>
    <t xml:space="preserve">Tujuan                                                  </t>
  </si>
  <si>
    <t>:</t>
  </si>
  <si>
    <t xml:space="preserve">Maksud Perjalanan Dinas                  </t>
  </si>
  <si>
    <r>
      <t xml:space="preserve">Lama Perjalanan Dinas                         </t>
    </r>
    <r>
      <rPr>
        <b/>
        <sz val="11"/>
        <color indexed="8"/>
        <rFont val="Arial Narrow"/>
        <family val="2"/>
      </rPr>
      <t xml:space="preserve">   </t>
    </r>
  </si>
  <si>
    <t xml:space="preserve">Tanggal Berangkat / Kembali        </t>
  </si>
  <si>
    <t>s/d</t>
  </si>
  <si>
    <t xml:space="preserve">Kendaraan Yang Dipergunakan         </t>
  </si>
  <si>
    <t>Mengetahui / Menyetujui</t>
  </si>
  <si>
    <t xml:space="preserve">Pemohon, </t>
  </si>
  <si>
    <t>Rifki Zainaldi, S.E., M.M</t>
  </si>
  <si>
    <t>NIP. 197712072011011002</t>
  </si>
  <si>
    <t>CATATAN ANGGARAN</t>
  </si>
  <si>
    <t>JUMLAH ANGGARAN</t>
  </si>
  <si>
    <t>Biaya yang telah dipergunakan</t>
  </si>
  <si>
    <t>Biaya yang akan dipergunakan</t>
  </si>
  <si>
    <t>Sisa Anggaran s/d sekarang</t>
  </si>
  <si>
    <t xml:space="preserve">4. </t>
  </si>
  <si>
    <t xml:space="preserve">Sisa Persekot </t>
  </si>
  <si>
    <t>Diterima</t>
  </si>
  <si>
    <t>Tanggal /Tanda tangan</t>
  </si>
  <si>
    <t>Verifikasi</t>
  </si>
  <si>
    <t>Bag Perjalanan</t>
  </si>
  <si>
    <t>PUMK Perjalanan</t>
  </si>
  <si>
    <t xml:space="preserve">                  </t>
  </si>
  <si>
    <t>SURAT TUGAS</t>
  </si>
  <si>
    <t>NIP</t>
  </si>
  <si>
    <t>Unit Organisasi</t>
  </si>
  <si>
    <t>Pusat Perakitan dan Modernisasi Pertanian Perkebunan</t>
  </si>
  <si>
    <t>Kementerian/Lembaga</t>
  </si>
  <si>
    <t>Kementerian Pertanian</t>
  </si>
  <si>
    <t>Dengan ini menugaskan kepada nama-nama tersebut dibawah ini :</t>
  </si>
  <si>
    <t>No.</t>
  </si>
  <si>
    <t>N a m a</t>
  </si>
  <si>
    <t>Pangkat/Golongan</t>
  </si>
  <si>
    <t>Untuk      :</t>
  </si>
  <si>
    <t xml:space="preserve">Melaksanakan tugas dalam rangka   </t>
  </si>
  <si>
    <t>Tanggal pelaksanaan Tugas</t>
  </si>
  <si>
    <t>3.</t>
  </si>
  <si>
    <t>Biaya Perjalanan dinas dibebankan pada DIPA Pusat Perakitan dan Modernisasi Pertanian Perkebunan</t>
  </si>
  <si>
    <t>4.</t>
  </si>
  <si>
    <t xml:space="preserve">Setelah selesai melaksanakan tugas agar membuat laporan tertulis mengenai hasil-hasil pelaksanaan </t>
  </si>
  <si>
    <t>tugas paling lambat 1 (satu) minggu setelah bertugas.</t>
  </si>
  <si>
    <t xml:space="preserve">    Demikian untuk dilaksanakan dengan sebaik-baiknya.</t>
  </si>
  <si>
    <t>Dr. Ir. I Ketut Kariyasa, M.Si</t>
  </si>
  <si>
    <t>196904191998031002</t>
  </si>
  <si>
    <t>Kepala Pusat Perakitan dan Modernisasi Pertanian Perkebunan</t>
  </si>
  <si>
    <t>Kepala Pusat,</t>
  </si>
  <si>
    <t>Kuasa Pengguna Anggaran</t>
  </si>
  <si>
    <t>NIP. 196904191998031002</t>
  </si>
  <si>
    <t>V</t>
  </si>
  <si>
    <t>Dinas</t>
  </si>
  <si>
    <t>Hamdan Mubarok</t>
  </si>
  <si>
    <t>Dr. Ir. I Ketut Kariyasa, M.Si.</t>
  </si>
  <si>
    <t>Kepala Pusat</t>
  </si>
  <si>
    <t>IV/d</t>
  </si>
  <si>
    <t xml:space="preserve">T.A 2026, MAK : </t>
  </si>
  <si>
    <t>Penanggung Jawab Kegiatan</t>
  </si>
  <si>
    <r>
      <t xml:space="preserve"> </t>
    </r>
    <r>
      <rPr>
        <sz val="14"/>
        <color indexed="18"/>
        <rFont val="Arial"/>
        <family val="2"/>
      </rPr>
      <t xml:space="preserve">KEMENTERIAN PERTANIAN </t>
    </r>
  </si>
  <si>
    <t>Pengadministrasi Perkantoran</t>
  </si>
  <si>
    <t>Rp.  ...……………………</t>
  </si>
  <si>
    <t>Pendampingan Program Strategis Swasembada Pangan Berkelanjutan</t>
  </si>
  <si>
    <t>( 7912.AEA.001.051.A.524111 )</t>
  </si>
  <si>
    <t>TOLAK UKUR  ( 7912.AEA.001.051.A.524111 )</t>
  </si>
  <si>
    <t>Bersama ini kami penanggung jawab kegiatan   : Pendampingan Program Strategis Swasembada Pangan Berkelanjutan</t>
  </si>
  <si>
    <t xml:space="preserve">PEGAWAI YANG MELAKUKAN PERJALANAN DINAS </t>
  </si>
  <si>
    <t xml:space="preserve">   s/d</t>
  </si>
  <si>
    <t>Jakarta</t>
  </si>
  <si>
    <t>Sesuai  dengan SURAT TUGAS ,    No.        /TU.040/H.4/9/2026</t>
  </si>
  <si>
    <t>No.          /TU.040/H.4/9/2026</t>
  </si>
  <si>
    <t>Menghadiri Undangan Acara Munas Dekopi dan International Coffe Day 2026</t>
  </si>
  <si>
    <t>2 ( dua ) hari</t>
  </si>
  <si>
    <t xml:space="preserve">30 September 2026 </t>
  </si>
  <si>
    <t>1 Oktober 2026</t>
  </si>
  <si>
    <t>Tanggal : 30 September 2026</t>
  </si>
  <si>
    <t>Bogor, 30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</si>
</sst>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9" formatCode="_(* #,##0_);_(* \(#,##0\);_(* &quot;-&quot;_);_(@_)"/>
  </numFmts>
  <fonts count="33" x14ac:knownFonts="1">
    <font>
      <sz val="11"/>
      <color indexed="8"/>
      <name val="Calibri"/>
      <family val="2"/>
    </font>
    <font>
      <u/>
      <sz val="8"/>
      <color indexed="12"/>
      <name val="Calibri"/>
      <family val="2"/>
    </font>
    <font>
      <sz val="8"/>
      <color indexed="12"/>
      <name val="Calibri"/>
      <family val="2"/>
    </font>
    <font>
      <b/>
      <sz val="14"/>
      <color indexed="8"/>
      <name val="Arial Narrow"/>
      <family val="2"/>
    </font>
    <font>
      <b/>
      <sz val="18"/>
      <color indexed="8"/>
      <name val="Arial Narrow"/>
      <family val="2"/>
    </font>
    <font>
      <sz val="12"/>
      <color indexed="8"/>
      <name val="Tahoma"/>
      <family val="2"/>
    </font>
    <font>
      <sz val="12"/>
      <color indexed="8"/>
      <name val="Arial Narrow"/>
      <family val="2"/>
    </font>
    <font>
      <sz val="11"/>
      <color indexed="8"/>
      <name val="Arial Narrow"/>
      <family val="2"/>
    </font>
    <font>
      <sz val="11"/>
      <color indexed="8"/>
      <name val="Tahoma"/>
      <family val="2"/>
    </font>
    <font>
      <sz val="10"/>
      <color indexed="8"/>
      <name val="Tahoma"/>
      <family val="2"/>
    </font>
    <font>
      <sz val="12"/>
      <color indexed="8"/>
      <name val="Calibri"/>
      <family val="2"/>
    </font>
    <font>
      <sz val="11"/>
      <color indexed="8"/>
      <name val="Arial"/>
      <family val="2"/>
    </font>
    <font>
      <sz val="14"/>
      <color indexed="18"/>
      <name val="Arial"/>
      <family val="2"/>
    </font>
    <font>
      <sz val="11"/>
      <name val="Arial Narrow"/>
      <family val="2"/>
    </font>
    <font>
      <b/>
      <sz val="11"/>
      <color indexed="8"/>
      <name val="Arial Narrow"/>
      <family val="2"/>
    </font>
    <font>
      <u/>
      <sz val="10"/>
      <color indexed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u/>
      <sz val="11"/>
      <color indexed="8"/>
      <name val="Arial"/>
      <family val="2"/>
    </font>
    <font>
      <u/>
      <sz val="11"/>
      <color indexed="12"/>
      <name val="Calibri"/>
      <family val="2"/>
    </font>
    <font>
      <sz val="11"/>
      <color indexed="8"/>
      <name val="Calibri"/>
      <family val="2"/>
    </font>
    <font>
      <b/>
      <sz val="11"/>
      <name val="Arial Narrow"/>
      <family val="2"/>
    </font>
    <font>
      <sz val="11"/>
      <name val="Arial"/>
      <family val="2"/>
    </font>
    <font>
      <sz val="8"/>
      <name val="Calibri"/>
      <family val="2"/>
    </font>
    <font>
      <sz val="11"/>
      <color rgb="FF00008A"/>
      <name val="Calibri"/>
      <family val="2"/>
    </font>
    <font>
      <b/>
      <sz val="14"/>
      <color rgb="FF00008A"/>
      <name val="Arial"/>
      <family val="2"/>
    </font>
    <font>
      <b/>
      <sz val="16"/>
      <color rgb="FF00008A"/>
      <name val="Arial"/>
      <family val="2"/>
    </font>
    <font>
      <sz val="10"/>
      <color rgb="FF00008A"/>
      <name val="Arial"/>
      <family val="2"/>
    </font>
    <font>
      <sz val="8"/>
      <color rgb="FF00008A"/>
      <name val="Arial"/>
      <family val="2"/>
    </font>
    <font>
      <sz val="11"/>
      <color rgb="FF000096"/>
      <name val="Calibri"/>
      <family val="2"/>
    </font>
    <font>
      <sz val="14"/>
      <color rgb="FF00008A"/>
      <name val="Arial"/>
      <family val="2"/>
    </font>
    <font>
      <sz val="8"/>
      <color rgb="FF003399"/>
      <name val="Arial"/>
      <family val="2"/>
    </font>
    <font>
      <sz val="10"/>
      <color rgb="FF00339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169" fontId="20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205">
    <xf numFmtId="0" fontId="0" fillId="0" borderId="0" xfId="0"/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" fillId="0" borderId="0" xfId="2" applyFont="1" applyAlignment="1">
      <alignment vertical="center"/>
    </xf>
    <xf numFmtId="0" fontId="29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/>
    <xf numFmtId="0" fontId="7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0" fontId="9" fillId="0" borderId="0" xfId="0" applyFont="1" applyBorder="1" applyAlignment="1">
      <alignment vertical="center"/>
    </xf>
    <xf numFmtId="0" fontId="5" fillId="0" borderId="6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right" vertical="center"/>
    </xf>
    <xf numFmtId="0" fontId="6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/>
    <xf numFmtId="0" fontId="5" fillId="0" borderId="0" xfId="0" applyFont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0" fillId="0" borderId="15" xfId="0" applyBorder="1"/>
    <xf numFmtId="0" fontId="0" fillId="0" borderId="0" xfId="0" applyBorder="1"/>
    <xf numFmtId="0" fontId="7" fillId="0" borderId="0" xfId="0" applyFont="1" applyBorder="1"/>
    <xf numFmtId="0" fontId="7" fillId="0" borderId="0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13" fillId="0" borderId="18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13" fillId="0" borderId="19" xfId="0" applyFont="1" applyBorder="1" applyAlignment="1">
      <alignment horizontal="center" vertical="top" wrapText="1"/>
    </xf>
    <xf numFmtId="0" fontId="7" fillId="0" borderId="20" xfId="0" applyFont="1" applyBorder="1"/>
    <xf numFmtId="0" fontId="7" fillId="0" borderId="21" xfId="0" applyFont="1" applyBorder="1"/>
    <xf numFmtId="0" fontId="7" fillId="0" borderId="2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3" fillId="0" borderId="0" xfId="0" applyFont="1" applyBorder="1" applyAlignment="1">
      <alignment horizontal="left" vertical="top" wrapText="1"/>
    </xf>
    <xf numFmtId="0" fontId="7" fillId="0" borderId="0" xfId="0" applyFont="1" applyBorder="1" applyAlignment="1"/>
    <xf numFmtId="0" fontId="14" fillId="0" borderId="0" xfId="0" applyFont="1" applyBorder="1"/>
    <xf numFmtId="0" fontId="14" fillId="0" borderId="0" xfId="0" applyFont="1" applyBorder="1" applyAlignment="1">
      <alignment horizontal="left" vertical="center"/>
    </xf>
    <xf numFmtId="0" fontId="13" fillId="0" borderId="0" xfId="0" applyFont="1" applyBorder="1"/>
    <xf numFmtId="0" fontId="7" fillId="0" borderId="23" xfId="0" applyFont="1" applyBorder="1" applyAlignment="1">
      <alignment horizontal="left" vertical="center"/>
    </xf>
    <xf numFmtId="0" fontId="7" fillId="0" borderId="23" xfId="0" applyFont="1" applyBorder="1"/>
    <xf numFmtId="0" fontId="7" fillId="0" borderId="24" xfId="0" applyFont="1" applyBorder="1"/>
    <xf numFmtId="0" fontId="7" fillId="0" borderId="25" xfId="0" applyFont="1" applyBorder="1"/>
    <xf numFmtId="0" fontId="11" fillId="0" borderId="0" xfId="0" applyFont="1" applyBorder="1"/>
    <xf numFmtId="0" fontId="30" fillId="0" borderId="0" xfId="0" applyFont="1" applyAlignment="1">
      <alignment vertical="center"/>
    </xf>
    <xf numFmtId="0" fontId="15" fillId="0" borderId="0" xfId="2" applyFont="1" applyAlignment="1">
      <alignment vertical="center"/>
    </xf>
    <xf numFmtId="0" fontId="7" fillId="0" borderId="26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0" fillId="0" borderId="29" xfId="0" applyBorder="1"/>
    <xf numFmtId="0" fontId="16" fillId="0" borderId="0" xfId="0" applyFont="1" applyBorder="1"/>
    <xf numFmtId="0" fontId="17" fillId="0" borderId="0" xfId="0" applyFont="1" applyBorder="1"/>
    <xf numFmtId="0" fontId="16" fillId="0" borderId="30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7" fillId="0" borderId="32" xfId="0" applyFont="1" applyFill="1" applyBorder="1" applyAlignment="1">
      <alignment vertical="center"/>
    </xf>
    <xf numFmtId="15" fontId="7" fillId="0" borderId="32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7" fillId="0" borderId="35" xfId="0" applyFont="1" applyFill="1" applyBorder="1" applyAlignment="1">
      <alignment vertical="center"/>
    </xf>
    <xf numFmtId="0" fontId="7" fillId="0" borderId="35" xfId="0" applyFont="1" applyBorder="1" applyAlignment="1">
      <alignment horizontal="center" vertical="center"/>
    </xf>
    <xf numFmtId="15" fontId="7" fillId="0" borderId="3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/>
    </xf>
    <xf numFmtId="0" fontId="7" fillId="0" borderId="37" xfId="0" applyFont="1" applyFill="1" applyBorder="1" applyAlignment="1"/>
    <xf numFmtId="0" fontId="7" fillId="0" borderId="37" xfId="0" applyFont="1" applyBorder="1" applyAlignment="1">
      <alignment horizontal="center"/>
    </xf>
    <xf numFmtId="15" fontId="7" fillId="0" borderId="37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6" fillId="0" borderId="38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6" fillId="0" borderId="0" xfId="0" applyFont="1"/>
    <xf numFmtId="41" fontId="0" fillId="0" borderId="0" xfId="0" applyNumberFormat="1"/>
    <xf numFmtId="3" fontId="7" fillId="0" borderId="32" xfId="0" applyNumberFormat="1" applyFont="1" applyBorder="1" applyAlignment="1">
      <alignment horizontal="right" vertical="center"/>
    </xf>
    <xf numFmtId="3" fontId="7" fillId="0" borderId="35" xfId="0" applyNumberFormat="1" applyFont="1" applyBorder="1" applyAlignment="1">
      <alignment horizontal="right" vertical="center"/>
    </xf>
    <xf numFmtId="3" fontId="7" fillId="0" borderId="26" xfId="0" applyNumberFormat="1" applyFont="1" applyBorder="1" applyAlignment="1">
      <alignment horizontal="right" vertical="center"/>
    </xf>
    <xf numFmtId="3" fontId="7" fillId="0" borderId="9" xfId="0" applyNumberFormat="1" applyFont="1" applyBorder="1" applyAlignment="1">
      <alignment horizontal="right" vertical="center"/>
    </xf>
    <xf numFmtId="3" fontId="7" fillId="0" borderId="37" xfId="0" applyNumberFormat="1" applyFont="1" applyBorder="1" applyAlignment="1">
      <alignment horizontal="right"/>
    </xf>
    <xf numFmtId="3" fontId="7" fillId="0" borderId="14" xfId="0" applyNumberFormat="1" applyFont="1" applyBorder="1" applyAlignment="1">
      <alignment horizontal="right"/>
    </xf>
    <xf numFmtId="3" fontId="16" fillId="0" borderId="38" xfId="0" applyNumberFormat="1" applyFont="1" applyBorder="1" applyAlignment="1">
      <alignment horizontal="right"/>
    </xf>
    <xf numFmtId="3" fontId="16" fillId="0" borderId="38" xfId="0" applyNumberFormat="1" applyFont="1" applyBorder="1" applyAlignment="1">
      <alignment horizontal="right" vertical="center"/>
    </xf>
    <xf numFmtId="3" fontId="16" fillId="0" borderId="3" xfId="0" applyNumberFormat="1" applyFont="1" applyBorder="1" applyAlignment="1">
      <alignment horizontal="right" vertical="center"/>
    </xf>
    <xf numFmtId="3" fontId="11" fillId="0" borderId="0" xfId="0" applyNumberFormat="1" applyFont="1"/>
    <xf numFmtId="0" fontId="11" fillId="0" borderId="0" xfId="0" applyFont="1" applyAlignment="1">
      <alignment horizontal="center" vertical="center"/>
    </xf>
    <xf numFmtId="3" fontId="18" fillId="0" borderId="0" xfId="0" applyNumberFormat="1" applyFont="1"/>
    <xf numFmtId="0" fontId="0" fillId="0" borderId="0" xfId="0" applyFill="1"/>
    <xf numFmtId="41" fontId="0" fillId="0" borderId="0" xfId="0" applyNumberFormat="1" applyFill="1"/>
    <xf numFmtId="3" fontId="16" fillId="0" borderId="40" xfId="0" applyNumberFormat="1" applyFont="1" applyFill="1" applyBorder="1" applyAlignment="1">
      <alignment horizontal="right" vertical="center"/>
    </xf>
    <xf numFmtId="3" fontId="0" fillId="0" borderId="0" xfId="0" applyNumberFormat="1" applyFill="1"/>
    <xf numFmtId="169" fontId="0" fillId="0" borderId="0" xfId="1" applyFont="1"/>
    <xf numFmtId="0" fontId="5" fillId="0" borderId="0" xfId="0" quotePrefix="1" applyFont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right" vertical="center"/>
    </xf>
    <xf numFmtId="3" fontId="7" fillId="0" borderId="41" xfId="0" applyNumberFormat="1" applyFont="1" applyBorder="1" applyAlignment="1">
      <alignment horizontal="right" vertical="center"/>
    </xf>
    <xf numFmtId="0" fontId="7" fillId="0" borderId="42" xfId="0" applyFont="1" applyBorder="1" applyAlignment="1">
      <alignment horizontal="center" vertical="center"/>
    </xf>
    <xf numFmtId="0" fontId="16" fillId="2" borderId="30" xfId="0" applyFont="1" applyFill="1" applyBorder="1" applyAlignment="1">
      <alignment horizontal="center"/>
    </xf>
    <xf numFmtId="0" fontId="16" fillId="2" borderId="31" xfId="0" applyFont="1" applyFill="1" applyBorder="1" applyAlignment="1">
      <alignment horizontal="center"/>
    </xf>
    <xf numFmtId="0" fontId="16" fillId="3" borderId="30" xfId="0" applyFont="1" applyFill="1" applyBorder="1" applyAlignment="1">
      <alignment horizontal="center"/>
    </xf>
    <xf numFmtId="0" fontId="16" fillId="3" borderId="31" xfId="0" applyFont="1" applyFill="1" applyBorder="1" applyAlignment="1">
      <alignment horizontal="center"/>
    </xf>
    <xf numFmtId="0" fontId="21" fillId="0" borderId="0" xfId="0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22" fillId="0" borderId="0" xfId="0" applyFont="1"/>
    <xf numFmtId="0" fontId="13" fillId="0" borderId="32" xfId="0" quotePrefix="1" applyFont="1" applyBorder="1" applyAlignment="1">
      <alignment horizontal="center" vertical="center"/>
    </xf>
    <xf numFmtId="0" fontId="13" fillId="0" borderId="35" xfId="0" quotePrefix="1" applyFont="1" applyBorder="1" applyAlignment="1">
      <alignment horizontal="center" vertical="center"/>
    </xf>
    <xf numFmtId="0" fontId="21" fillId="0" borderId="0" xfId="0" applyFont="1" applyBorder="1"/>
    <xf numFmtId="0" fontId="13" fillId="0" borderId="0" xfId="0" applyFont="1" applyBorder="1" applyAlignment="1">
      <alignment horizontal="left" vertical="center"/>
    </xf>
    <xf numFmtId="0" fontId="16" fillId="0" borderId="43" xfId="0" applyFont="1" applyBorder="1" applyAlignment="1">
      <alignment horizontal="center"/>
    </xf>
    <xf numFmtId="15" fontId="7" fillId="0" borderId="44" xfId="0" applyNumberFormat="1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7" fillId="0" borderId="0" xfId="0" quotePrefix="1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2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35" xfId="0" applyBorder="1"/>
    <xf numFmtId="0" fontId="0" fillId="0" borderId="46" xfId="0" applyBorder="1"/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3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0" xfId="0" quotePrefix="1" applyFont="1" applyBorder="1" applyAlignment="1">
      <alignment horizontal="left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1" fillId="0" borderId="0" xfId="2" applyFont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6" fillId="0" borderId="5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6" fillId="2" borderId="45" xfId="0" applyFont="1" applyFill="1" applyBorder="1" applyAlignment="1">
      <alignment horizontal="center" vertical="center"/>
    </xf>
    <xf numFmtId="0" fontId="11" fillId="2" borderId="44" xfId="0" applyFont="1" applyFill="1" applyBorder="1" applyAlignment="1">
      <alignment horizontal="center" vertical="center"/>
    </xf>
    <xf numFmtId="0" fontId="11" fillId="2" borderId="58" xfId="0" applyFont="1" applyFill="1" applyBorder="1" applyAlignment="1">
      <alignment horizontal="center" vertical="center"/>
    </xf>
    <xf numFmtId="0" fontId="16" fillId="2" borderId="45" xfId="0" applyFont="1" applyFill="1" applyBorder="1" applyAlignment="1">
      <alignment horizontal="center" vertical="center" wrapText="1"/>
    </xf>
    <xf numFmtId="0" fontId="11" fillId="2" borderId="58" xfId="0" applyFont="1" applyFill="1" applyBorder="1" applyAlignment="1">
      <alignment horizontal="center" vertical="center" wrapText="1"/>
    </xf>
    <xf numFmtId="0" fontId="16" fillId="2" borderId="58" xfId="0" applyFont="1" applyFill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6" fillId="0" borderId="30" xfId="0" applyFont="1" applyBorder="1" applyAlignment="1">
      <alignment horizontal="center"/>
    </xf>
    <xf numFmtId="0" fontId="16" fillId="0" borderId="56" xfId="0" applyFont="1" applyBorder="1" applyAlignment="1">
      <alignment horizontal="center"/>
    </xf>
    <xf numFmtId="0" fontId="16" fillId="0" borderId="57" xfId="0" applyFont="1" applyBorder="1" applyAlignment="1">
      <alignment horizontal="center"/>
    </xf>
    <xf numFmtId="0" fontId="16" fillId="0" borderId="0" xfId="0" applyFont="1" applyAlignment="1">
      <alignment horizontal="left" vertic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6</xdr:row>
      <xdr:rowOff>184150</xdr:rowOff>
    </xdr:from>
    <xdr:to>
      <xdr:col>7</xdr:col>
      <xdr:colOff>171450</xdr:colOff>
      <xdr:row>7</xdr:row>
      <xdr:rowOff>6350</xdr:rowOff>
    </xdr:to>
    <xdr:sp macro="" textlink="">
      <xdr:nvSpPr>
        <xdr:cNvPr id="140452" name="Line 27">
          <a:extLst>
            <a:ext uri="{FF2B5EF4-FFF2-40B4-BE49-F238E27FC236}">
              <a16:creationId xmlns:a16="http://schemas.microsoft.com/office/drawing/2014/main" id="{1F55A0AD-54FE-DAA9-5E1F-D572AB6F3330}"/>
            </a:ext>
          </a:extLst>
        </xdr:cNvPr>
        <xdr:cNvSpPr>
          <a:spLocks noChangeShapeType="1"/>
        </xdr:cNvSpPr>
      </xdr:nvSpPr>
      <xdr:spPr bwMode="auto">
        <a:xfrm>
          <a:off x="25400" y="1435100"/>
          <a:ext cx="8750300" cy="6350"/>
        </a:xfrm>
        <a:prstGeom prst="line">
          <a:avLst/>
        </a:prstGeom>
        <a:noFill/>
        <a:ln w="41275" cmpd="thickThin">
          <a:solidFill>
            <a:srgbClr val="00008A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63500</xdr:colOff>
      <xdr:row>0</xdr:row>
      <xdr:rowOff>57150</xdr:rowOff>
    </xdr:from>
    <xdr:to>
      <xdr:col>2</xdr:col>
      <xdr:colOff>387350</xdr:colOff>
      <xdr:row>4</xdr:row>
      <xdr:rowOff>139700</xdr:rowOff>
    </xdr:to>
    <xdr:pic>
      <xdr:nvPicPr>
        <xdr:cNvPr id="140453" name="Picture 2">
          <a:extLst>
            <a:ext uri="{FF2B5EF4-FFF2-40B4-BE49-F238E27FC236}">
              <a16:creationId xmlns:a16="http://schemas.microsoft.com/office/drawing/2014/main" id="{182A15FE-5C2D-9F9D-FCFB-27A52776E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57150"/>
          <a:ext cx="100330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6350</xdr:rowOff>
    </xdr:from>
    <xdr:to>
      <xdr:col>9</xdr:col>
      <xdr:colOff>101600</xdr:colOff>
      <xdr:row>8</xdr:row>
      <xdr:rowOff>25400</xdr:rowOff>
    </xdr:to>
    <xdr:sp macro="" textlink="">
      <xdr:nvSpPr>
        <xdr:cNvPr id="1450" name="Line 31">
          <a:extLst>
            <a:ext uri="{FF2B5EF4-FFF2-40B4-BE49-F238E27FC236}">
              <a16:creationId xmlns:a16="http://schemas.microsoft.com/office/drawing/2014/main" id="{9EF9E6D0-4553-9D28-0CA2-868F3303DB1C}"/>
            </a:ext>
          </a:extLst>
        </xdr:cNvPr>
        <xdr:cNvSpPr>
          <a:spLocks noChangeShapeType="1"/>
        </xdr:cNvSpPr>
      </xdr:nvSpPr>
      <xdr:spPr bwMode="auto">
        <a:xfrm>
          <a:off x="0" y="1377950"/>
          <a:ext cx="7981950" cy="19050"/>
        </a:xfrm>
        <a:prstGeom prst="line">
          <a:avLst/>
        </a:prstGeom>
        <a:noFill/>
        <a:ln w="41275" cmpd="thickThin">
          <a:solidFill>
            <a:srgbClr val="00008A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88900</xdr:colOff>
      <xdr:row>1</xdr:row>
      <xdr:rowOff>57150</xdr:rowOff>
    </xdr:from>
    <xdr:to>
      <xdr:col>2</xdr:col>
      <xdr:colOff>400050</xdr:colOff>
      <xdr:row>5</xdr:row>
      <xdr:rowOff>127000</xdr:rowOff>
    </xdr:to>
    <xdr:pic>
      <xdr:nvPicPr>
        <xdr:cNvPr id="1451" name="Picture 2">
          <a:extLst>
            <a:ext uri="{FF2B5EF4-FFF2-40B4-BE49-F238E27FC236}">
              <a16:creationId xmlns:a16="http://schemas.microsoft.com/office/drawing/2014/main" id="{FA14F644-8195-2C94-E1B0-EDD24CC01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120650"/>
          <a:ext cx="9779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8979-E76C-4772-B949-970259365735}">
  <sheetPr>
    <pageSetUpPr fitToPage="1"/>
  </sheetPr>
  <dimension ref="A1:J47"/>
  <sheetViews>
    <sheetView view="pageBreakPreview" topLeftCell="A18" zoomScale="56" zoomScaleNormal="100" workbookViewId="0">
      <selection activeCell="G43" sqref="G43"/>
    </sheetView>
  </sheetViews>
  <sheetFormatPr defaultColWidth="9.1796875" defaultRowHeight="14.5" x14ac:dyDescent="0.35"/>
  <cols>
    <col min="1" max="1" width="5" customWidth="1"/>
    <col min="2" max="2" width="4.7265625" customWidth="1"/>
    <col min="3" max="3" width="34.81640625" customWidth="1"/>
    <col min="4" max="4" width="2.54296875" customWidth="1"/>
    <col min="5" max="5" width="20.54296875" customWidth="1"/>
    <col min="6" max="6" width="9.81640625" customWidth="1"/>
    <col min="7" max="7" width="45.7265625" customWidth="1"/>
    <col min="8" max="8" width="4.36328125" customWidth="1"/>
  </cols>
  <sheetData>
    <row r="1" spans="1:9" ht="17.5" customHeight="1" x14ac:dyDescent="0.35">
      <c r="B1" s="1"/>
      <c r="C1" s="158" t="s">
        <v>98</v>
      </c>
      <c r="D1" s="158"/>
      <c r="E1" s="158"/>
      <c r="F1" s="158"/>
      <c r="G1" s="158"/>
      <c r="H1" s="1"/>
    </row>
    <row r="2" spans="1:9" ht="17" customHeight="1" x14ac:dyDescent="0.35">
      <c r="B2" s="2"/>
      <c r="C2" s="158" t="s">
        <v>28</v>
      </c>
      <c r="D2" s="158"/>
      <c r="E2" s="158"/>
      <c r="F2" s="158"/>
      <c r="G2" s="158"/>
      <c r="H2" s="2"/>
    </row>
    <row r="3" spans="1:9" ht="17.5" customHeight="1" x14ac:dyDescent="0.35">
      <c r="B3" s="3"/>
      <c r="C3" s="159" t="s">
        <v>29</v>
      </c>
      <c r="D3" s="159"/>
      <c r="E3" s="159"/>
      <c r="F3" s="159"/>
      <c r="G3" s="159"/>
      <c r="H3" s="3"/>
    </row>
    <row r="4" spans="1:9" ht="17.5" customHeight="1" x14ac:dyDescent="0.35">
      <c r="B4" s="4"/>
      <c r="C4" s="160" t="s">
        <v>30</v>
      </c>
      <c r="D4" s="160"/>
      <c r="E4" s="160"/>
      <c r="F4" s="160"/>
      <c r="G4" s="160"/>
      <c r="H4" s="4"/>
    </row>
    <row r="5" spans="1:9" x14ac:dyDescent="0.35">
      <c r="B5" s="5"/>
      <c r="C5" s="161" t="s">
        <v>31</v>
      </c>
      <c r="D5" s="161"/>
      <c r="E5" s="161"/>
      <c r="F5" s="161"/>
      <c r="G5" s="161"/>
      <c r="H5" s="5"/>
    </row>
    <row r="6" spans="1:9" x14ac:dyDescent="0.35">
      <c r="B6" s="6"/>
      <c r="C6" s="162" t="s">
        <v>32</v>
      </c>
      <c r="D6" s="162"/>
      <c r="E6" s="162"/>
      <c r="F6" s="162"/>
      <c r="G6" s="162"/>
      <c r="H6" s="6"/>
    </row>
    <row r="7" spans="1:9" x14ac:dyDescent="0.35">
      <c r="F7" s="7" t="s">
        <v>64</v>
      </c>
    </row>
    <row r="9" spans="1:9" ht="22.5" x14ac:dyDescent="0.35">
      <c r="A9" s="157" t="s">
        <v>65</v>
      </c>
      <c r="B9" s="157"/>
      <c r="C9" s="157"/>
      <c r="D9" s="157"/>
      <c r="E9" s="157"/>
      <c r="F9" s="157"/>
      <c r="G9" s="157"/>
      <c r="H9" s="8"/>
    </row>
    <row r="10" spans="1:9" ht="15.5" x14ac:dyDescent="0.35">
      <c r="A10" s="145" t="s">
        <v>109</v>
      </c>
      <c r="B10" s="145"/>
      <c r="C10" s="145"/>
      <c r="D10" s="145"/>
      <c r="E10" s="145"/>
      <c r="F10" s="145"/>
      <c r="G10" s="145"/>
      <c r="H10" s="10"/>
      <c r="I10" s="40"/>
    </row>
    <row r="11" spans="1:9" ht="15.5" x14ac:dyDescent="0.35">
      <c r="A11" s="145" t="s">
        <v>114</v>
      </c>
      <c r="B11" s="145"/>
      <c r="C11" s="145"/>
      <c r="D11" s="145"/>
      <c r="E11" s="145"/>
      <c r="F11" s="145"/>
      <c r="G11" s="145"/>
      <c r="H11" s="10"/>
      <c r="I11" s="40"/>
    </row>
    <row r="12" spans="1:9" ht="15.5" x14ac:dyDescent="0.35">
      <c r="A12" s="11"/>
      <c r="B12" s="11"/>
      <c r="C12" s="11"/>
      <c r="D12" s="11"/>
      <c r="E12" s="11"/>
      <c r="F12" s="11"/>
      <c r="G12" s="11"/>
      <c r="H12" s="12"/>
    </row>
    <row r="13" spans="1:9" ht="17.5" customHeight="1" x14ac:dyDescent="0.35">
      <c r="A13" s="9"/>
      <c r="B13" s="13"/>
      <c r="C13" s="136" t="s">
        <v>35</v>
      </c>
      <c r="D13" s="138" t="s">
        <v>42</v>
      </c>
      <c r="E13" s="117" t="s">
        <v>84</v>
      </c>
      <c r="F13" s="14"/>
      <c r="G13" s="38"/>
      <c r="H13" s="15"/>
      <c r="I13" s="37"/>
    </row>
    <row r="14" spans="1:9" ht="17.5" customHeight="1" x14ac:dyDescent="0.35">
      <c r="A14" s="9"/>
      <c r="B14" s="13"/>
      <c r="C14" s="136" t="s">
        <v>66</v>
      </c>
      <c r="D14" s="138" t="s">
        <v>42</v>
      </c>
      <c r="E14" s="117" t="s">
        <v>85</v>
      </c>
      <c r="F14" s="14"/>
      <c r="G14" s="38"/>
      <c r="H14" s="15"/>
      <c r="I14" s="37"/>
    </row>
    <row r="15" spans="1:9" ht="17.5" customHeight="1" x14ac:dyDescent="0.35">
      <c r="A15" s="9"/>
      <c r="B15" s="13"/>
      <c r="C15" s="136" t="s">
        <v>36</v>
      </c>
      <c r="D15" s="138" t="s">
        <v>42</v>
      </c>
      <c r="E15" s="117" t="s">
        <v>86</v>
      </c>
      <c r="F15" s="14"/>
      <c r="G15" s="38"/>
      <c r="H15" s="15"/>
      <c r="I15" s="37"/>
    </row>
    <row r="16" spans="1:9" ht="17.5" customHeight="1" x14ac:dyDescent="0.35">
      <c r="A16" s="9"/>
      <c r="B16" s="13"/>
      <c r="C16" s="136" t="s">
        <v>67</v>
      </c>
      <c r="D16" s="138" t="s">
        <v>42</v>
      </c>
      <c r="E16" s="117" t="s">
        <v>68</v>
      </c>
      <c r="F16" s="14"/>
      <c r="G16" s="38"/>
      <c r="H16" s="15"/>
    </row>
    <row r="17" spans="1:10" ht="17.5" customHeight="1" x14ac:dyDescent="0.35">
      <c r="A17" s="9"/>
      <c r="B17" s="13"/>
      <c r="C17" s="136" t="s">
        <v>69</v>
      </c>
      <c r="D17" s="138" t="s">
        <v>42</v>
      </c>
      <c r="E17" s="146" t="s">
        <v>70</v>
      </c>
      <c r="F17" s="147"/>
      <c r="G17" s="147"/>
      <c r="H17" s="15"/>
    </row>
    <row r="18" spans="1:10" ht="15.5" x14ac:dyDescent="0.35">
      <c r="A18" s="9"/>
      <c r="B18" s="9"/>
      <c r="C18" s="9"/>
      <c r="D18" s="9"/>
      <c r="E18" s="9"/>
      <c r="F18" s="9"/>
      <c r="G18" s="9"/>
      <c r="H18" s="15"/>
    </row>
    <row r="19" spans="1:10" ht="15.5" x14ac:dyDescent="0.35">
      <c r="A19" s="13"/>
      <c r="B19" s="13" t="s">
        <v>71</v>
      </c>
      <c r="C19" s="13"/>
      <c r="D19" s="13"/>
      <c r="E19" s="13"/>
      <c r="F19" s="13"/>
      <c r="G19" s="13"/>
      <c r="H19" s="16"/>
    </row>
    <row r="20" spans="1:10" ht="18.75" customHeight="1" x14ac:dyDescent="0.35">
      <c r="A20" s="11"/>
      <c r="B20" s="11"/>
      <c r="C20" s="11"/>
      <c r="D20" s="11"/>
      <c r="E20" s="11"/>
      <c r="F20" s="11"/>
      <c r="G20" s="11"/>
      <c r="H20" s="11"/>
    </row>
    <row r="21" spans="1:10" ht="15.5" x14ac:dyDescent="0.35">
      <c r="A21" s="17"/>
      <c r="B21" s="18" t="s">
        <v>72</v>
      </c>
      <c r="C21" s="19" t="s">
        <v>73</v>
      </c>
      <c r="D21" s="148" t="s">
        <v>74</v>
      </c>
      <c r="E21" s="149"/>
      <c r="F21" s="150"/>
      <c r="G21" s="20" t="s">
        <v>36</v>
      </c>
      <c r="H21" s="21"/>
    </row>
    <row r="22" spans="1:10" ht="15" customHeight="1" x14ac:dyDescent="0.35">
      <c r="A22" s="22"/>
      <c r="B22" s="23">
        <v>1</v>
      </c>
      <c r="C22" s="24" t="str">
        <f>'Permohonan Perjadin'!C15</f>
        <v>Dr. Ir. I Ketut Kariyasa, M.Si.</v>
      </c>
      <c r="D22" s="151" t="str">
        <f>'Permohonan Perjadin'!I15</f>
        <v>IV/d</v>
      </c>
      <c r="E22" s="152"/>
      <c r="F22" s="153"/>
      <c r="G22" s="141" t="str">
        <f>'Permohonan Perjadin'!F15</f>
        <v>Kepala Pusat</v>
      </c>
      <c r="H22" s="25"/>
      <c r="I22" s="42"/>
      <c r="J22" s="42"/>
    </row>
    <row r="23" spans="1:10" ht="15" customHeight="1" x14ac:dyDescent="0.35">
      <c r="A23" s="22"/>
      <c r="B23" s="26">
        <v>2</v>
      </c>
      <c r="C23" s="24" t="str">
        <f>'Permohonan Perjadin'!C16</f>
        <v>Hamdan Mubarok</v>
      </c>
      <c r="D23" s="154" t="str">
        <f>'Permohonan Perjadin'!I16</f>
        <v>V</v>
      </c>
      <c r="E23" s="155"/>
      <c r="F23" s="156"/>
      <c r="G23" s="142" t="str">
        <f>'Permohonan Perjadin'!F16</f>
        <v>Pengadministrasi Perkantoran</v>
      </c>
      <c r="H23" s="25"/>
      <c r="I23" s="42"/>
      <c r="J23" s="42"/>
    </row>
    <row r="24" spans="1:10" ht="15" customHeight="1" x14ac:dyDescent="0.35">
      <c r="A24" s="22"/>
      <c r="B24" s="26"/>
      <c r="C24" s="24"/>
      <c r="D24" s="154"/>
      <c r="E24" s="155"/>
      <c r="F24" s="156"/>
      <c r="G24" s="142"/>
      <c r="H24" s="25"/>
    </row>
    <row r="25" spans="1:10" ht="15" customHeight="1" x14ac:dyDescent="0.35">
      <c r="A25" s="22"/>
      <c r="B25" s="26"/>
      <c r="C25" s="24"/>
      <c r="D25" s="154"/>
      <c r="E25" s="155"/>
      <c r="F25" s="156"/>
      <c r="G25" s="142"/>
      <c r="H25" s="25"/>
    </row>
    <row r="26" spans="1:10" ht="15" hidden="1" customHeight="1" x14ac:dyDescent="0.35">
      <c r="A26" s="22"/>
      <c r="B26" s="26"/>
      <c r="C26" s="24"/>
      <c r="D26" s="24"/>
      <c r="E26" s="28"/>
      <c r="F26" s="29"/>
      <c r="G26" s="30"/>
      <c r="H26" s="25"/>
    </row>
    <row r="27" spans="1:10" ht="15" customHeight="1" x14ac:dyDescent="0.35">
      <c r="A27" s="22"/>
      <c r="B27" s="31"/>
      <c r="C27" s="32"/>
      <c r="D27" s="32"/>
      <c r="E27" s="33"/>
      <c r="F27" s="34"/>
      <c r="G27" s="35"/>
      <c r="H27" s="36"/>
    </row>
    <row r="28" spans="1:10" ht="15.5" x14ac:dyDescent="0.35">
      <c r="A28" s="11"/>
      <c r="B28" s="11"/>
      <c r="C28" s="11"/>
      <c r="D28" s="11"/>
      <c r="E28" s="11"/>
      <c r="F28" s="11"/>
      <c r="G28" s="11"/>
      <c r="H28" s="11"/>
    </row>
    <row r="29" spans="1:10" ht="15.5" x14ac:dyDescent="0.35">
      <c r="A29" s="11"/>
      <c r="B29" s="136" t="s">
        <v>75</v>
      </c>
      <c r="C29" s="137"/>
      <c r="D29" s="137"/>
      <c r="E29" s="137"/>
      <c r="F29" s="137"/>
      <c r="G29" s="137"/>
      <c r="H29" s="11"/>
    </row>
    <row r="30" spans="1:10" ht="17" customHeight="1" x14ac:dyDescent="0.35">
      <c r="A30" s="37"/>
      <c r="B30" s="38" t="s">
        <v>39</v>
      </c>
      <c r="C30" s="136" t="s">
        <v>76</v>
      </c>
      <c r="D30" s="138" t="s">
        <v>42</v>
      </c>
      <c r="E30" s="136" t="str">
        <f>'Permohonan Perjadin'!E23</f>
        <v>Menghadiri Undangan Acara Munas Dekopi dan International Coffe Day 2026</v>
      </c>
      <c r="F30" s="14"/>
      <c r="G30" s="136"/>
      <c r="H30" s="39"/>
    </row>
    <row r="31" spans="1:10" ht="17.5" hidden="1" customHeight="1" x14ac:dyDescent="0.35">
      <c r="A31" s="13"/>
      <c r="B31" s="38"/>
      <c r="C31" s="136"/>
      <c r="D31" s="136"/>
      <c r="E31" s="136">
        <f>'Permohonan Perjadin'!E24</f>
        <v>0</v>
      </c>
      <c r="F31" s="14"/>
      <c r="G31" s="136"/>
      <c r="H31" s="39"/>
    </row>
    <row r="32" spans="1:10" ht="17.5" customHeight="1" x14ac:dyDescent="0.35">
      <c r="A32" s="13"/>
      <c r="B32" s="38" t="s">
        <v>40</v>
      </c>
      <c r="C32" s="136" t="s">
        <v>77</v>
      </c>
      <c r="D32" s="138" t="s">
        <v>42</v>
      </c>
      <c r="E32" s="14" t="str">
        <f>'Permohonan Perjadin'!E26:F26</f>
        <v xml:space="preserve">30 September 2026 </v>
      </c>
      <c r="F32" s="117" t="s">
        <v>46</v>
      </c>
      <c r="G32" s="14" t="str">
        <f>'Permohonan Perjadin'!H26</f>
        <v>1 Oktober 2026</v>
      </c>
      <c r="H32" s="39"/>
    </row>
    <row r="33" spans="1:8" ht="17.5" customHeight="1" x14ac:dyDescent="0.35">
      <c r="A33" s="13"/>
      <c r="B33" s="38" t="s">
        <v>78</v>
      </c>
      <c r="C33" s="136" t="s">
        <v>79</v>
      </c>
      <c r="D33" s="136"/>
      <c r="E33" s="136"/>
      <c r="F33" s="136"/>
      <c r="G33" s="14"/>
      <c r="H33" s="39"/>
    </row>
    <row r="34" spans="1:8" ht="17.5" customHeight="1" x14ac:dyDescent="0.35">
      <c r="A34" s="13"/>
      <c r="B34" s="38"/>
      <c r="C34" s="136" t="s">
        <v>96</v>
      </c>
      <c r="D34" s="136"/>
      <c r="E34" s="136" t="str">
        <f>Lampiran!I5</f>
        <v>( 7912.AEA.001.051.A.524111 )</v>
      </c>
      <c r="F34" s="136"/>
      <c r="G34" s="136"/>
      <c r="H34" s="39"/>
    </row>
    <row r="35" spans="1:8" ht="17.5" customHeight="1" x14ac:dyDescent="0.35">
      <c r="A35" s="13"/>
      <c r="B35" s="38" t="s">
        <v>80</v>
      </c>
      <c r="C35" s="136" t="s">
        <v>81</v>
      </c>
      <c r="D35" s="136"/>
      <c r="E35" s="136"/>
      <c r="F35" s="136"/>
      <c r="G35" s="136"/>
      <c r="H35" s="39"/>
    </row>
    <row r="36" spans="1:8" ht="15.5" x14ac:dyDescent="0.35">
      <c r="A36" s="13"/>
      <c r="B36" s="136"/>
      <c r="C36" s="136" t="s">
        <v>82</v>
      </c>
      <c r="D36" s="136"/>
      <c r="E36" s="136"/>
      <c r="F36" s="136"/>
      <c r="G36" s="136"/>
      <c r="H36" s="39"/>
    </row>
    <row r="37" spans="1:8" ht="15.5" x14ac:dyDescent="0.35">
      <c r="A37" s="13"/>
      <c r="B37" s="136"/>
      <c r="C37" s="136"/>
      <c r="D37" s="136"/>
      <c r="E37" s="136"/>
      <c r="F37" s="136"/>
      <c r="G37" s="136"/>
      <c r="H37" s="39"/>
    </row>
    <row r="38" spans="1:8" ht="15.5" x14ac:dyDescent="0.35">
      <c r="A38" s="13"/>
      <c r="B38" s="136"/>
      <c r="C38" s="136" t="s">
        <v>83</v>
      </c>
      <c r="D38" s="136"/>
      <c r="E38" s="136"/>
      <c r="F38" s="136"/>
      <c r="G38" s="136"/>
      <c r="H38" s="39"/>
    </row>
    <row r="39" spans="1:8" ht="15.5" x14ac:dyDescent="0.35">
      <c r="A39" s="11"/>
      <c r="B39" s="11"/>
      <c r="C39" s="11"/>
      <c r="D39" s="11"/>
      <c r="E39" s="11"/>
      <c r="F39" s="11"/>
      <c r="G39" s="11"/>
      <c r="H39" s="11"/>
    </row>
    <row r="40" spans="1:8" ht="15.5" x14ac:dyDescent="0.35">
      <c r="A40" s="11"/>
      <c r="B40" s="11"/>
      <c r="C40" s="11"/>
      <c r="D40" s="11"/>
      <c r="E40" s="11"/>
      <c r="F40" s="11"/>
      <c r="G40" s="14" t="str">
        <f>'Permohonan Perjadin'!H29</f>
        <v>Bogor, 30 September 2026</v>
      </c>
    </row>
    <row r="41" spans="1:8" ht="15.5" x14ac:dyDescent="0.35">
      <c r="A41" s="11"/>
      <c r="B41" s="11"/>
      <c r="C41" s="11"/>
      <c r="D41" s="11"/>
      <c r="E41" s="11"/>
      <c r="F41" s="11"/>
      <c r="G41" s="14"/>
    </row>
    <row r="42" spans="1:8" ht="15.5" x14ac:dyDescent="0.35">
      <c r="A42" s="11"/>
      <c r="B42" s="11"/>
      <c r="C42" s="11"/>
      <c r="D42" s="11"/>
      <c r="E42" s="11"/>
      <c r="F42" s="11"/>
      <c r="G42" s="14" t="s">
        <v>87</v>
      </c>
    </row>
    <row r="43" spans="1:8" ht="15.5" x14ac:dyDescent="0.35">
      <c r="A43" s="11"/>
      <c r="B43" s="11"/>
      <c r="C43" s="11"/>
      <c r="D43" s="11"/>
      <c r="E43" s="11"/>
      <c r="F43" s="11"/>
      <c r="G43" s="14" t="s">
        <v>88</v>
      </c>
    </row>
    <row r="44" spans="1:8" ht="28.5" customHeight="1" x14ac:dyDescent="0.35">
      <c r="A44" s="11"/>
      <c r="B44" s="11"/>
      <c r="C44" s="11"/>
      <c r="D44" s="11"/>
      <c r="E44" s="11"/>
      <c r="F44" s="11"/>
      <c r="G44" s="13"/>
      <c r="H44" s="11"/>
    </row>
    <row r="45" spans="1:8" ht="35.25" customHeight="1" x14ac:dyDescent="0.35">
      <c r="A45" s="11"/>
      <c r="B45" s="11"/>
      <c r="C45" s="11"/>
      <c r="D45" s="11"/>
      <c r="E45" s="11"/>
      <c r="F45" s="11"/>
      <c r="G45" s="13"/>
      <c r="H45" s="11"/>
    </row>
    <row r="46" spans="1:8" ht="15.5" x14ac:dyDescent="0.35">
      <c r="A46" s="11"/>
      <c r="B46" s="11"/>
      <c r="C46" s="11"/>
      <c r="D46" s="11"/>
      <c r="E46" s="11"/>
      <c r="F46" s="11"/>
      <c r="G46" s="13" t="s">
        <v>84</v>
      </c>
    </row>
    <row r="47" spans="1:8" ht="15.5" x14ac:dyDescent="0.35">
      <c r="A47" s="11"/>
      <c r="B47" s="11"/>
      <c r="C47" s="11"/>
      <c r="D47" s="11"/>
      <c r="E47" s="11"/>
      <c r="F47" s="11"/>
      <c r="G47" s="13" t="s">
        <v>89</v>
      </c>
    </row>
  </sheetData>
  <mergeCells count="15">
    <mergeCell ref="A9:G9"/>
    <mergeCell ref="C1:G1"/>
    <mergeCell ref="C2:G2"/>
    <mergeCell ref="C3:G3"/>
    <mergeCell ref="C4:G4"/>
    <mergeCell ref="C5:G5"/>
    <mergeCell ref="C6:G6"/>
    <mergeCell ref="A10:G10"/>
    <mergeCell ref="A11:G11"/>
    <mergeCell ref="E17:G17"/>
    <mergeCell ref="D21:F21"/>
    <mergeCell ref="D22:F22"/>
    <mergeCell ref="D25:F25"/>
    <mergeCell ref="D24:F24"/>
    <mergeCell ref="D23:F23"/>
  </mergeCells>
  <pageMargins left="0.39370078740157483" right="0.19685039370078741" top="0.35433070866141736" bottom="0.35433070866141736" header="0.31496062992125984" footer="0.31496062992125984"/>
  <pageSetup paperSize="9"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D1F-5016-4D9C-8B47-EA4EDE0A6253}">
  <dimension ref="A1:M102"/>
  <sheetViews>
    <sheetView view="pageBreakPreview" topLeftCell="A27" zoomScale="69" zoomScaleNormal="100" zoomScaleSheetLayoutView="100" workbookViewId="0">
      <selection activeCell="F51" sqref="F51"/>
    </sheetView>
  </sheetViews>
  <sheetFormatPr defaultColWidth="9.1796875" defaultRowHeight="14.5" x14ac:dyDescent="0.35"/>
  <cols>
    <col min="1" max="1" width="4.7265625" customWidth="1"/>
    <col min="2" max="2" width="4.81640625" customWidth="1"/>
    <col min="3" max="3" width="25" customWidth="1"/>
    <col min="4" max="4" width="1.81640625" customWidth="1"/>
    <col min="5" max="5" width="9.453125" customWidth="1"/>
    <col min="6" max="6" width="6.1796875" customWidth="1"/>
    <col min="7" max="7" width="6.453125" customWidth="1"/>
    <col min="8" max="8" width="25.81640625" style="41" customWidth="1"/>
    <col min="9" max="9" width="28.54296875" customWidth="1"/>
    <col min="10" max="10" width="3.6328125" customWidth="1"/>
    <col min="11" max="11" width="14.6328125" hidden="1" customWidth="1"/>
    <col min="12" max="13" width="9.1796875" hidden="1" customWidth="1"/>
  </cols>
  <sheetData>
    <row r="1" spans="1:12" ht="5" customHeight="1" x14ac:dyDescent="0.35">
      <c r="H1" s="42"/>
    </row>
    <row r="2" spans="1:12" ht="17.5" x14ac:dyDescent="0.35">
      <c r="C2" s="182" t="s">
        <v>27</v>
      </c>
      <c r="D2" s="182"/>
      <c r="E2" s="182"/>
      <c r="F2" s="182"/>
      <c r="G2" s="182"/>
      <c r="H2" s="182"/>
      <c r="I2" s="182"/>
    </row>
    <row r="3" spans="1:12" ht="17.5" x14ac:dyDescent="0.35">
      <c r="C3" s="158" t="s">
        <v>28</v>
      </c>
      <c r="D3" s="158"/>
      <c r="E3" s="158"/>
      <c r="F3" s="158"/>
      <c r="G3" s="158"/>
      <c r="H3" s="158"/>
      <c r="I3" s="158"/>
      <c r="J3" s="68"/>
      <c r="L3" s="68"/>
    </row>
    <row r="4" spans="1:12" ht="18" x14ac:dyDescent="0.35">
      <c r="C4" s="183" t="s">
        <v>29</v>
      </c>
      <c r="D4" s="183"/>
      <c r="E4" s="183"/>
      <c r="F4" s="183"/>
      <c r="G4" s="183"/>
      <c r="H4" s="183"/>
      <c r="I4" s="183"/>
      <c r="J4" s="2"/>
      <c r="L4" s="2"/>
    </row>
    <row r="5" spans="1:12" x14ac:dyDescent="0.35">
      <c r="C5" s="184" t="s">
        <v>30</v>
      </c>
      <c r="D5" s="184"/>
      <c r="E5" s="184"/>
      <c r="F5" s="184"/>
      <c r="G5" s="184"/>
      <c r="H5" s="184"/>
      <c r="I5" s="184"/>
    </row>
    <row r="6" spans="1:12" ht="13.5" customHeight="1" x14ac:dyDescent="0.35">
      <c r="C6" s="185" t="s">
        <v>31</v>
      </c>
      <c r="D6" s="185"/>
      <c r="E6" s="185"/>
      <c r="F6" s="185"/>
      <c r="G6" s="185"/>
      <c r="H6" s="185"/>
      <c r="I6" s="185"/>
    </row>
    <row r="7" spans="1:12" ht="12" customHeight="1" x14ac:dyDescent="0.35">
      <c r="C7" s="179" t="s">
        <v>32</v>
      </c>
      <c r="D7" s="179"/>
      <c r="E7" s="179"/>
      <c r="F7" s="179"/>
      <c r="G7" s="179"/>
      <c r="H7" s="179"/>
      <c r="I7" s="179"/>
      <c r="J7" s="69"/>
      <c r="L7" s="69"/>
    </row>
    <row r="8" spans="1:12" ht="10" customHeight="1" x14ac:dyDescent="0.35">
      <c r="A8" s="42"/>
      <c r="B8" s="42"/>
      <c r="C8" s="42"/>
      <c r="D8" s="42"/>
      <c r="E8" s="42"/>
      <c r="F8" s="42"/>
      <c r="H8" s="42"/>
    </row>
    <row r="9" spans="1:12" ht="10" customHeight="1" x14ac:dyDescent="0.35">
      <c r="A9" s="42"/>
      <c r="B9" s="42"/>
      <c r="C9" s="42"/>
      <c r="D9" s="42"/>
      <c r="E9" s="42"/>
      <c r="F9" s="42"/>
      <c r="H9" s="42"/>
    </row>
    <row r="10" spans="1:12" ht="16" customHeight="1" x14ac:dyDescent="0.35">
      <c r="A10" s="43"/>
      <c r="B10" s="27" t="s">
        <v>104</v>
      </c>
      <c r="C10" s="43"/>
      <c r="D10" s="43"/>
      <c r="E10" s="43"/>
      <c r="F10" s="43"/>
      <c r="G10" s="12"/>
      <c r="H10" s="43"/>
    </row>
    <row r="11" spans="1:12" ht="16.5" customHeight="1" x14ac:dyDescent="0.35">
      <c r="B11" s="43" t="s">
        <v>33</v>
      </c>
      <c r="C11" s="44"/>
      <c r="D11" s="44"/>
      <c r="E11" s="44"/>
      <c r="F11" s="44"/>
      <c r="G11" s="45"/>
      <c r="H11" s="45"/>
    </row>
    <row r="12" spans="1:12" x14ac:dyDescent="0.35">
      <c r="B12" s="43"/>
      <c r="C12" s="43"/>
      <c r="D12" s="43"/>
      <c r="E12" s="43"/>
      <c r="F12" s="43"/>
      <c r="G12" s="12"/>
      <c r="H12" s="46"/>
    </row>
    <row r="13" spans="1:12" x14ac:dyDescent="0.35">
      <c r="A13" s="47"/>
      <c r="B13" s="171" t="s">
        <v>34</v>
      </c>
      <c r="C13" s="180" t="s">
        <v>35</v>
      </c>
      <c r="D13" s="177"/>
      <c r="E13" s="48"/>
      <c r="F13" s="180" t="s">
        <v>36</v>
      </c>
      <c r="G13" s="177"/>
      <c r="H13" s="181"/>
      <c r="I13" s="70" t="s">
        <v>37</v>
      </c>
    </row>
    <row r="14" spans="1:12" x14ac:dyDescent="0.35">
      <c r="A14" s="47"/>
      <c r="B14" s="172"/>
      <c r="C14" s="165"/>
      <c r="D14" s="178"/>
      <c r="E14" s="49"/>
      <c r="F14" s="165"/>
      <c r="G14" s="178"/>
      <c r="H14" s="166"/>
      <c r="I14" s="71" t="s">
        <v>38</v>
      </c>
    </row>
    <row r="15" spans="1:12" x14ac:dyDescent="0.35">
      <c r="A15" s="50"/>
      <c r="B15" s="51" t="s">
        <v>39</v>
      </c>
      <c r="C15" s="16" t="s">
        <v>93</v>
      </c>
      <c r="D15" s="43"/>
      <c r="E15" s="43"/>
      <c r="F15" s="173" t="s">
        <v>94</v>
      </c>
      <c r="G15" s="174"/>
      <c r="H15" s="175"/>
      <c r="I15" s="72" t="s">
        <v>95</v>
      </c>
    </row>
    <row r="16" spans="1:12" x14ac:dyDescent="0.35">
      <c r="A16" s="50"/>
      <c r="B16" s="51" t="s">
        <v>40</v>
      </c>
      <c r="C16" s="16" t="s">
        <v>92</v>
      </c>
      <c r="D16" s="43"/>
      <c r="E16" s="43"/>
      <c r="F16" s="173" t="s">
        <v>99</v>
      </c>
      <c r="G16" s="174"/>
      <c r="H16" s="175"/>
      <c r="I16" s="72" t="s">
        <v>90</v>
      </c>
    </row>
    <row r="17" spans="1:9" x14ac:dyDescent="0.35">
      <c r="A17" s="50"/>
      <c r="B17" s="51"/>
      <c r="C17" s="16"/>
      <c r="D17" s="43"/>
      <c r="E17" s="43"/>
      <c r="F17" s="173"/>
      <c r="G17" s="174"/>
      <c r="H17" s="175"/>
      <c r="I17" s="72"/>
    </row>
    <row r="18" spans="1:9" x14ac:dyDescent="0.35">
      <c r="A18" s="50"/>
      <c r="B18" s="51"/>
      <c r="C18" s="16"/>
      <c r="D18" s="43"/>
      <c r="E18" s="43"/>
      <c r="F18" s="173"/>
      <c r="G18" s="174"/>
      <c r="H18" s="175"/>
      <c r="I18" s="72"/>
    </row>
    <row r="19" spans="1:9" x14ac:dyDescent="0.35">
      <c r="A19" s="50"/>
      <c r="B19" s="53"/>
      <c r="C19" s="54"/>
      <c r="D19" s="55"/>
      <c r="E19" s="55"/>
      <c r="F19" s="56"/>
      <c r="G19" s="55"/>
      <c r="H19" s="57"/>
      <c r="I19" s="73"/>
    </row>
    <row r="20" spans="1:9" x14ac:dyDescent="0.35">
      <c r="A20" s="50"/>
      <c r="B20" s="58"/>
      <c r="C20" s="43"/>
      <c r="D20" s="43"/>
      <c r="E20" s="43"/>
      <c r="F20" s="43"/>
      <c r="G20" s="43"/>
      <c r="H20" s="43"/>
    </row>
    <row r="21" spans="1:9" ht="17" customHeight="1" x14ac:dyDescent="0.35">
      <c r="B21" s="132" t="s">
        <v>108</v>
      </c>
      <c r="C21" s="59"/>
      <c r="D21" s="59"/>
      <c r="E21" s="59"/>
      <c r="F21" s="59"/>
      <c r="G21" s="59"/>
      <c r="H21" s="59"/>
    </row>
    <row r="22" spans="1:9" ht="16" customHeight="1" x14ac:dyDescent="0.35">
      <c r="A22" s="43"/>
      <c r="B22" s="52" t="s">
        <v>41</v>
      </c>
      <c r="C22" s="27"/>
      <c r="D22" s="139" t="s">
        <v>42</v>
      </c>
      <c r="E22" s="139" t="s">
        <v>107</v>
      </c>
      <c r="F22" s="27"/>
      <c r="G22" s="140"/>
      <c r="H22" s="27"/>
    </row>
    <row r="23" spans="1:9" ht="16" customHeight="1" x14ac:dyDescent="0.35">
      <c r="A23" s="43"/>
      <c r="B23" s="52" t="s">
        <v>43</v>
      </c>
      <c r="C23" s="27"/>
      <c r="D23" s="139" t="s">
        <v>42</v>
      </c>
      <c r="E23" s="27" t="s">
        <v>110</v>
      </c>
      <c r="F23" s="27"/>
      <c r="G23" s="140"/>
      <c r="H23" s="52"/>
    </row>
    <row r="24" spans="1:9" ht="16" hidden="1" customHeight="1" x14ac:dyDescent="0.35">
      <c r="A24" s="43"/>
      <c r="B24" s="52"/>
      <c r="C24" s="27"/>
      <c r="D24" s="139"/>
      <c r="E24" s="27"/>
      <c r="F24" s="27"/>
      <c r="G24" s="140"/>
      <c r="H24" s="52"/>
    </row>
    <row r="25" spans="1:9" ht="16" customHeight="1" x14ac:dyDescent="0.35">
      <c r="A25" s="43"/>
      <c r="B25" s="52" t="s">
        <v>44</v>
      </c>
      <c r="C25" s="27"/>
      <c r="D25" s="139" t="s">
        <v>42</v>
      </c>
      <c r="E25" s="139" t="s">
        <v>111</v>
      </c>
      <c r="F25" s="140"/>
      <c r="G25" s="140"/>
      <c r="H25" s="27"/>
    </row>
    <row r="26" spans="1:9" ht="16" customHeight="1" x14ac:dyDescent="0.35">
      <c r="A26" s="43"/>
      <c r="B26" s="52" t="s">
        <v>45</v>
      </c>
      <c r="C26" s="27"/>
      <c r="D26" s="139" t="s">
        <v>42</v>
      </c>
      <c r="E26" s="176" t="s">
        <v>112</v>
      </c>
      <c r="F26" s="174"/>
      <c r="G26" s="127" t="s">
        <v>106</v>
      </c>
      <c r="H26" s="127" t="s">
        <v>113</v>
      </c>
    </row>
    <row r="27" spans="1:9" ht="16" customHeight="1" x14ac:dyDescent="0.35">
      <c r="A27" s="43"/>
      <c r="B27" s="52" t="s">
        <v>47</v>
      </c>
      <c r="C27" s="27"/>
      <c r="D27" s="139" t="s">
        <v>42</v>
      </c>
      <c r="E27" s="176" t="s">
        <v>91</v>
      </c>
      <c r="F27" s="174"/>
      <c r="G27" s="27"/>
      <c r="H27" s="27"/>
    </row>
    <row r="28" spans="1:9" x14ac:dyDescent="0.35">
      <c r="A28" s="43"/>
      <c r="B28" s="43"/>
      <c r="C28" s="60"/>
      <c r="D28" s="60"/>
      <c r="E28" s="60"/>
      <c r="F28" s="43"/>
      <c r="G28" s="43"/>
      <c r="H28" s="43"/>
    </row>
    <row r="29" spans="1:9" x14ac:dyDescent="0.35">
      <c r="A29" s="43"/>
      <c r="B29" s="43"/>
      <c r="C29" s="43"/>
      <c r="D29" s="43"/>
      <c r="E29" s="43"/>
      <c r="F29" s="43"/>
      <c r="G29" s="43"/>
      <c r="H29" s="43" t="s">
        <v>115</v>
      </c>
    </row>
    <row r="30" spans="1:9" x14ac:dyDescent="0.35">
      <c r="A30" s="12"/>
      <c r="B30" s="43" t="s">
        <v>48</v>
      </c>
      <c r="C30" s="43"/>
      <c r="D30" s="43"/>
      <c r="E30" s="43"/>
      <c r="F30" s="43"/>
      <c r="G30" s="43"/>
      <c r="H30" s="43" t="s">
        <v>49</v>
      </c>
    </row>
    <row r="31" spans="1:9" x14ac:dyDescent="0.35">
      <c r="A31" s="12"/>
      <c r="B31" s="43" t="s">
        <v>24</v>
      </c>
      <c r="C31" s="43"/>
      <c r="D31" s="43"/>
      <c r="E31" s="43"/>
      <c r="F31" s="43"/>
      <c r="G31" s="43"/>
      <c r="H31" s="62" t="s">
        <v>97</v>
      </c>
    </row>
    <row r="32" spans="1:9" x14ac:dyDescent="0.35">
      <c r="A32" s="12"/>
      <c r="B32" s="43"/>
      <c r="C32" s="43"/>
      <c r="D32" s="43"/>
      <c r="E32" s="43"/>
      <c r="F32" s="43"/>
      <c r="G32" s="43"/>
      <c r="H32" s="62"/>
    </row>
    <row r="33" spans="1:10" x14ac:dyDescent="0.35">
      <c r="A33" s="12"/>
      <c r="B33" s="43"/>
      <c r="C33" s="43"/>
      <c r="D33" s="43"/>
      <c r="E33" s="43"/>
      <c r="F33" s="43"/>
      <c r="G33" s="43"/>
      <c r="H33" s="62"/>
      <c r="J33" s="61"/>
    </row>
    <row r="34" spans="1:10" x14ac:dyDescent="0.35">
      <c r="A34" s="12"/>
      <c r="B34" s="43"/>
      <c r="C34" s="43"/>
      <c r="D34" s="43"/>
      <c r="E34" s="43"/>
      <c r="F34" s="43"/>
      <c r="G34" s="43"/>
      <c r="H34" s="62"/>
      <c r="J34" s="62"/>
    </row>
    <row r="35" spans="1:10" x14ac:dyDescent="0.35">
      <c r="A35" s="12"/>
      <c r="B35" s="60" t="s">
        <v>50</v>
      </c>
      <c r="C35" s="43"/>
      <c r="D35" s="43"/>
      <c r="E35" s="43"/>
      <c r="F35" s="60"/>
      <c r="G35" s="60"/>
      <c r="H35" s="126" t="s">
        <v>84</v>
      </c>
      <c r="J35" s="61"/>
    </row>
    <row r="36" spans="1:10" x14ac:dyDescent="0.35">
      <c r="A36" s="12"/>
      <c r="B36" s="62" t="s">
        <v>51</v>
      </c>
      <c r="C36" s="43"/>
      <c r="D36" s="43"/>
      <c r="E36" s="43"/>
      <c r="F36" s="62"/>
      <c r="G36" s="62"/>
      <c r="H36" s="62" t="s">
        <v>89</v>
      </c>
      <c r="J36" s="62"/>
    </row>
    <row r="37" spans="1:10" x14ac:dyDescent="0.35">
      <c r="A37" s="12"/>
      <c r="B37" s="62"/>
      <c r="C37" s="43"/>
      <c r="D37" s="43"/>
      <c r="E37" s="43"/>
      <c r="F37" s="62"/>
      <c r="G37" s="62"/>
      <c r="H37" s="62"/>
      <c r="J37" s="62"/>
    </row>
    <row r="38" spans="1:10" ht="15" customHeight="1" x14ac:dyDescent="0.35">
      <c r="A38" s="60" t="s">
        <v>52</v>
      </c>
      <c r="B38" s="43"/>
      <c r="C38" s="43"/>
      <c r="D38" s="43"/>
      <c r="E38" s="43"/>
      <c r="F38" s="43"/>
      <c r="G38" s="43"/>
      <c r="H38" s="43"/>
    </row>
    <row r="39" spans="1:10" ht="15" customHeight="1" x14ac:dyDescent="0.35">
      <c r="A39" s="60" t="s">
        <v>53</v>
      </c>
      <c r="B39" s="43"/>
      <c r="C39" s="43"/>
      <c r="D39" s="43"/>
      <c r="E39" s="43"/>
      <c r="F39" s="131" t="s">
        <v>103</v>
      </c>
      <c r="G39" s="43"/>
      <c r="H39" s="43"/>
    </row>
    <row r="40" spans="1:10" ht="20" customHeight="1" x14ac:dyDescent="0.35">
      <c r="A40" s="43"/>
      <c r="B40" s="43"/>
      <c r="C40" s="43"/>
      <c r="D40" s="43"/>
      <c r="E40" s="43"/>
      <c r="F40" s="43"/>
      <c r="G40" s="43"/>
      <c r="H40" s="43"/>
    </row>
    <row r="41" spans="1:10" ht="15" customHeight="1" x14ac:dyDescent="0.35">
      <c r="A41" s="47" t="s">
        <v>39</v>
      </c>
      <c r="B41" s="43" t="s">
        <v>54</v>
      </c>
      <c r="C41" s="43"/>
      <c r="E41" s="43" t="s">
        <v>100</v>
      </c>
      <c r="F41" s="43"/>
      <c r="G41" s="43"/>
      <c r="H41" s="43"/>
    </row>
    <row r="42" spans="1:10" ht="20" customHeight="1" x14ac:dyDescent="0.35">
      <c r="A42" s="47"/>
      <c r="B42" s="43"/>
      <c r="C42" s="43"/>
      <c r="E42" s="43"/>
      <c r="F42" s="43"/>
      <c r="G42" s="43"/>
      <c r="H42" s="43"/>
    </row>
    <row r="43" spans="1:10" ht="15" customHeight="1" x14ac:dyDescent="0.35">
      <c r="A43" s="47" t="s">
        <v>40</v>
      </c>
      <c r="B43" s="43" t="s">
        <v>55</v>
      </c>
      <c r="C43" s="43"/>
      <c r="E43" s="43" t="s">
        <v>100</v>
      </c>
      <c r="F43" s="43"/>
      <c r="G43" s="43"/>
      <c r="H43" s="43"/>
    </row>
    <row r="44" spans="1:10" ht="20" customHeight="1" x14ac:dyDescent="0.35">
      <c r="A44" s="47"/>
      <c r="B44" s="43"/>
      <c r="C44" s="43"/>
      <c r="D44" s="43"/>
      <c r="E44" s="43"/>
      <c r="F44" s="43"/>
      <c r="G44" s="43"/>
      <c r="H44" s="43"/>
    </row>
    <row r="45" spans="1:10" ht="15" customHeight="1" x14ac:dyDescent="0.35">
      <c r="A45" s="47" t="s">
        <v>78</v>
      </c>
      <c r="B45" s="43" t="s">
        <v>56</v>
      </c>
      <c r="C45" s="60"/>
      <c r="D45" s="60"/>
      <c r="E45" s="43" t="s">
        <v>100</v>
      </c>
      <c r="F45" s="43"/>
      <c r="G45" s="43"/>
      <c r="H45" s="43"/>
    </row>
    <row r="46" spans="1:10" ht="20" customHeight="1" x14ac:dyDescent="0.35">
      <c r="A46" s="47"/>
      <c r="B46" s="43"/>
      <c r="C46" s="43"/>
      <c r="D46" s="43"/>
      <c r="E46" s="43"/>
      <c r="F46" s="43"/>
      <c r="G46" s="43"/>
      <c r="H46" s="43"/>
    </row>
    <row r="47" spans="1:10" ht="15" customHeight="1" x14ac:dyDescent="0.35">
      <c r="A47" s="47" t="s">
        <v>57</v>
      </c>
      <c r="B47" s="43" t="s">
        <v>58</v>
      </c>
      <c r="C47" s="43"/>
      <c r="D47" s="43"/>
      <c r="E47" s="43" t="s">
        <v>100</v>
      </c>
      <c r="F47" s="43"/>
      <c r="G47" s="43"/>
      <c r="H47" s="43"/>
    </row>
    <row r="48" spans="1:10" ht="15" customHeight="1" x14ac:dyDescent="0.35">
      <c r="A48" s="12"/>
      <c r="B48" s="12"/>
      <c r="C48" s="12"/>
      <c r="D48" s="12"/>
      <c r="E48" s="12"/>
      <c r="F48" s="12"/>
      <c r="G48" s="12"/>
      <c r="H48" s="43"/>
    </row>
    <row r="49" spans="1:9" ht="15" customHeight="1" x14ac:dyDescent="0.35">
      <c r="A49" s="12"/>
      <c r="B49" s="12"/>
      <c r="C49" s="12"/>
      <c r="D49" s="12"/>
      <c r="E49" s="12"/>
      <c r="F49" s="12"/>
      <c r="G49" s="12"/>
      <c r="H49" s="43"/>
    </row>
    <row r="50" spans="1:9" ht="14.25" customHeight="1" x14ac:dyDescent="0.35">
      <c r="A50" s="12"/>
      <c r="B50" s="163" t="s">
        <v>59</v>
      </c>
      <c r="C50" s="164"/>
      <c r="D50" s="167" t="s">
        <v>60</v>
      </c>
      <c r="E50" s="168"/>
      <c r="F50" s="44"/>
      <c r="G50" s="12"/>
      <c r="H50" s="43"/>
    </row>
    <row r="51" spans="1:9" ht="12" customHeight="1" x14ac:dyDescent="0.35">
      <c r="A51" s="12"/>
      <c r="B51" s="165"/>
      <c r="C51" s="166"/>
      <c r="D51" s="169"/>
      <c r="E51" s="170"/>
      <c r="F51" s="44"/>
      <c r="G51" s="12"/>
      <c r="H51" s="43"/>
    </row>
    <row r="52" spans="1:9" ht="27.5" customHeight="1" x14ac:dyDescent="0.35">
      <c r="A52" s="12"/>
      <c r="B52" s="63" t="s">
        <v>61</v>
      </c>
      <c r="C52" s="64"/>
      <c r="D52" s="65"/>
      <c r="E52" s="66"/>
      <c r="F52" s="43"/>
      <c r="G52" s="12"/>
      <c r="H52" s="43"/>
    </row>
    <row r="53" spans="1:9" ht="28" customHeight="1" x14ac:dyDescent="0.35">
      <c r="A53" s="12"/>
      <c r="B53" s="63" t="s">
        <v>62</v>
      </c>
      <c r="C53" s="64"/>
      <c r="D53" s="65"/>
      <c r="E53" s="66"/>
      <c r="F53" s="43"/>
      <c r="G53" s="12"/>
      <c r="H53" s="43"/>
    </row>
    <row r="54" spans="1:9" ht="28" customHeight="1" x14ac:dyDescent="0.35">
      <c r="A54" s="12"/>
      <c r="B54" s="63" t="s">
        <v>63</v>
      </c>
      <c r="C54" s="64"/>
      <c r="D54" s="65"/>
      <c r="E54" s="66"/>
      <c r="F54" s="43"/>
      <c r="G54" s="12"/>
      <c r="H54" s="43"/>
    </row>
    <row r="55" spans="1:9" ht="15" customHeight="1" x14ac:dyDescent="0.35">
      <c r="A55" s="12"/>
      <c r="B55" s="12"/>
      <c r="C55" s="12"/>
      <c r="D55" s="12"/>
      <c r="E55" s="12"/>
      <c r="F55" s="12"/>
      <c r="G55" s="12"/>
      <c r="H55" s="43"/>
    </row>
    <row r="56" spans="1:9" x14ac:dyDescent="0.35">
      <c r="A56" s="40"/>
      <c r="B56" s="40"/>
      <c r="C56" s="40"/>
      <c r="D56" s="40"/>
      <c r="E56" s="40"/>
      <c r="F56" s="40"/>
      <c r="G56" s="40"/>
      <c r="H56" s="67"/>
      <c r="I56" s="42"/>
    </row>
    <row r="57" spans="1:9" x14ac:dyDescent="0.35">
      <c r="H57" s="42"/>
      <c r="I57" s="42"/>
    </row>
    <row r="58" spans="1:9" x14ac:dyDescent="0.35">
      <c r="H58" s="42"/>
      <c r="I58" s="42"/>
    </row>
    <row r="59" spans="1:9" x14ac:dyDescent="0.35">
      <c r="H59" s="42"/>
      <c r="I59" s="42"/>
    </row>
    <row r="60" spans="1:9" x14ac:dyDescent="0.35">
      <c r="H60" s="42"/>
      <c r="I60" s="42"/>
    </row>
    <row r="61" spans="1:9" x14ac:dyDescent="0.35">
      <c r="H61" s="42"/>
      <c r="I61" s="42"/>
    </row>
    <row r="62" spans="1:9" x14ac:dyDescent="0.35">
      <c r="H62" s="42"/>
      <c r="I62" s="42"/>
    </row>
    <row r="63" spans="1:9" x14ac:dyDescent="0.35">
      <c r="H63" s="42"/>
      <c r="I63" s="42"/>
    </row>
    <row r="64" spans="1:9" x14ac:dyDescent="0.35">
      <c r="H64" s="42"/>
      <c r="I64" s="42"/>
    </row>
    <row r="65" spans="8:9" x14ac:dyDescent="0.35">
      <c r="H65" s="42"/>
      <c r="I65" s="42"/>
    </row>
    <row r="66" spans="8:9" x14ac:dyDescent="0.35">
      <c r="H66" s="42"/>
      <c r="I66" s="42"/>
    </row>
    <row r="67" spans="8:9" x14ac:dyDescent="0.35">
      <c r="H67" s="42"/>
      <c r="I67" s="42"/>
    </row>
    <row r="68" spans="8:9" x14ac:dyDescent="0.35">
      <c r="H68" s="42"/>
      <c r="I68" s="42"/>
    </row>
    <row r="69" spans="8:9" x14ac:dyDescent="0.35">
      <c r="H69" s="42"/>
      <c r="I69" s="42"/>
    </row>
    <row r="70" spans="8:9" x14ac:dyDescent="0.35">
      <c r="H70" s="42"/>
      <c r="I70" s="42"/>
    </row>
    <row r="71" spans="8:9" x14ac:dyDescent="0.35">
      <c r="H71" s="42"/>
      <c r="I71" s="42"/>
    </row>
    <row r="72" spans="8:9" x14ac:dyDescent="0.35">
      <c r="H72" s="42"/>
      <c r="I72" s="42"/>
    </row>
    <row r="73" spans="8:9" x14ac:dyDescent="0.35">
      <c r="H73" s="42"/>
      <c r="I73" s="42"/>
    </row>
    <row r="74" spans="8:9" x14ac:dyDescent="0.35">
      <c r="H74" s="42"/>
      <c r="I74" s="42"/>
    </row>
    <row r="75" spans="8:9" x14ac:dyDescent="0.35">
      <c r="H75" s="42"/>
      <c r="I75" s="42"/>
    </row>
    <row r="76" spans="8:9" x14ac:dyDescent="0.35">
      <c r="H76" s="42"/>
      <c r="I76" s="42"/>
    </row>
    <row r="77" spans="8:9" x14ac:dyDescent="0.35">
      <c r="H77" s="42"/>
      <c r="I77" s="42"/>
    </row>
    <row r="78" spans="8:9" x14ac:dyDescent="0.35">
      <c r="H78" s="42"/>
      <c r="I78" s="42"/>
    </row>
    <row r="79" spans="8:9" x14ac:dyDescent="0.35">
      <c r="H79" s="42"/>
      <c r="I79" s="42"/>
    </row>
    <row r="80" spans="8:9" x14ac:dyDescent="0.35">
      <c r="H80" s="42"/>
      <c r="I80" s="42"/>
    </row>
    <row r="81" spans="8:9" x14ac:dyDescent="0.35">
      <c r="H81" s="42"/>
      <c r="I81" s="42"/>
    </row>
    <row r="82" spans="8:9" x14ac:dyDescent="0.35">
      <c r="H82" s="42"/>
      <c r="I82" s="42"/>
    </row>
    <row r="83" spans="8:9" x14ac:dyDescent="0.35">
      <c r="H83" s="42"/>
      <c r="I83" s="42"/>
    </row>
    <row r="84" spans="8:9" x14ac:dyDescent="0.35">
      <c r="H84" s="42"/>
      <c r="I84" s="42"/>
    </row>
    <row r="85" spans="8:9" x14ac:dyDescent="0.35">
      <c r="H85" s="42"/>
      <c r="I85" s="42"/>
    </row>
    <row r="86" spans="8:9" x14ac:dyDescent="0.35">
      <c r="H86" s="42"/>
      <c r="I86" s="42"/>
    </row>
    <row r="87" spans="8:9" x14ac:dyDescent="0.35">
      <c r="H87" s="42"/>
      <c r="I87" s="42"/>
    </row>
    <row r="88" spans="8:9" x14ac:dyDescent="0.35">
      <c r="H88" s="42"/>
      <c r="I88" s="42"/>
    </row>
    <row r="89" spans="8:9" x14ac:dyDescent="0.35">
      <c r="H89" s="42"/>
      <c r="I89" s="42"/>
    </row>
    <row r="90" spans="8:9" x14ac:dyDescent="0.35">
      <c r="H90" s="42"/>
      <c r="I90" s="42"/>
    </row>
    <row r="91" spans="8:9" x14ac:dyDescent="0.35">
      <c r="H91" s="42"/>
      <c r="I91" s="42"/>
    </row>
    <row r="92" spans="8:9" x14ac:dyDescent="0.35">
      <c r="H92" s="42"/>
      <c r="I92" s="42"/>
    </row>
    <row r="93" spans="8:9" x14ac:dyDescent="0.35">
      <c r="H93" s="42"/>
      <c r="I93" s="42"/>
    </row>
    <row r="94" spans="8:9" x14ac:dyDescent="0.35">
      <c r="H94" s="42"/>
      <c r="I94" s="42"/>
    </row>
    <row r="95" spans="8:9" x14ac:dyDescent="0.35">
      <c r="H95" s="42"/>
      <c r="I95" s="42"/>
    </row>
    <row r="96" spans="8:9" x14ac:dyDescent="0.35">
      <c r="H96" s="42"/>
      <c r="I96" s="42"/>
    </row>
    <row r="97" spans="8:9" x14ac:dyDescent="0.35">
      <c r="H97" s="42"/>
      <c r="I97" s="42"/>
    </row>
    <row r="98" spans="8:9" x14ac:dyDescent="0.35">
      <c r="H98" s="42"/>
      <c r="I98" s="42"/>
    </row>
    <row r="99" spans="8:9" x14ac:dyDescent="0.35">
      <c r="H99" s="42"/>
      <c r="I99" s="42"/>
    </row>
    <row r="100" spans="8:9" x14ac:dyDescent="0.35">
      <c r="H100" s="42"/>
      <c r="I100" s="42"/>
    </row>
    <row r="101" spans="8:9" x14ac:dyDescent="0.35">
      <c r="H101" s="42"/>
      <c r="I101" s="42"/>
    </row>
    <row r="102" spans="8:9" x14ac:dyDescent="0.35">
      <c r="H102" s="42"/>
      <c r="I102" s="42"/>
    </row>
  </sheetData>
  <mergeCells count="18">
    <mergeCell ref="C7:I7"/>
    <mergeCell ref="F13:H14"/>
    <mergeCell ref="C13:C14"/>
    <mergeCell ref="C2:I2"/>
    <mergeCell ref="C3:I3"/>
    <mergeCell ref="C4:I4"/>
    <mergeCell ref="C5:I5"/>
    <mergeCell ref="C6:I6"/>
    <mergeCell ref="B50:C51"/>
    <mergeCell ref="D50:E51"/>
    <mergeCell ref="B13:B14"/>
    <mergeCell ref="F16:H16"/>
    <mergeCell ref="E27:F27"/>
    <mergeCell ref="F15:H15"/>
    <mergeCell ref="D13:D14"/>
    <mergeCell ref="E26:F26"/>
    <mergeCell ref="F18:H18"/>
    <mergeCell ref="F17:H17"/>
  </mergeCells>
  <pageMargins left="0.39370078740157483" right="0.19685039370078741" top="0.35433070866141736" bottom="0.35433070866141736" header="0.31496062992125984" footer="0.31496062992125984"/>
  <pageSetup paperSize="9" scale="8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FFF5-F32E-4DEE-BFA9-A965BF1D0464}">
  <dimension ref="A2:R36"/>
  <sheetViews>
    <sheetView tabSelected="1" view="pageBreakPreview" zoomScale="56" zoomScaleNormal="100" zoomScaleSheetLayoutView="184" workbookViewId="0">
      <selection activeCell="F17" sqref="F17"/>
    </sheetView>
  </sheetViews>
  <sheetFormatPr defaultColWidth="9.1796875" defaultRowHeight="14.5" x14ac:dyDescent="0.35"/>
  <cols>
    <col min="1" max="1" width="4.7265625" customWidth="1"/>
    <col min="2" max="2" width="32.7265625" customWidth="1"/>
    <col min="3" max="3" width="9.26953125" customWidth="1"/>
    <col min="4" max="4" width="24.26953125" customWidth="1"/>
    <col min="5" max="5" width="15.26953125" customWidth="1"/>
    <col min="6" max="6" width="15.7265625" customWidth="1"/>
    <col min="7" max="7" width="3.54296875" customWidth="1"/>
    <col min="8" max="8" width="5.453125" customWidth="1"/>
    <col min="9" max="9" width="11.1796875" customWidth="1"/>
    <col min="10" max="10" width="14.1796875" customWidth="1"/>
    <col min="11" max="11" width="11.1796875" customWidth="1"/>
    <col min="12" max="12" width="10.7265625" customWidth="1"/>
    <col min="13" max="13" width="13.26953125" customWidth="1"/>
    <col min="14" max="14" width="6" customWidth="1"/>
    <col min="15" max="15" width="13.54296875" customWidth="1"/>
    <col min="16" max="16" width="16.26953125" customWidth="1"/>
    <col min="17" max="17" width="14.81640625" customWidth="1"/>
    <col min="18" max="18" width="19.453125" customWidth="1"/>
  </cols>
  <sheetData>
    <row r="2" spans="1:17" x14ac:dyDescent="0.35">
      <c r="A2" s="199" t="s">
        <v>0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</row>
    <row r="3" spans="1:17" x14ac:dyDescent="0.35">
      <c r="A3" s="199" t="s">
        <v>105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</row>
    <row r="4" spans="1:17" x14ac:dyDescent="0.35">
      <c r="A4" s="200"/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</row>
    <row r="5" spans="1:17" ht="21" customHeight="1" x14ac:dyDescent="0.35">
      <c r="A5" s="40"/>
      <c r="B5" s="74" t="s">
        <v>1</v>
      </c>
      <c r="C5" s="75" t="s">
        <v>101</v>
      </c>
      <c r="D5" s="40"/>
      <c r="E5" s="40"/>
      <c r="F5" s="40"/>
      <c r="H5" s="40"/>
      <c r="I5" s="128" t="s">
        <v>102</v>
      </c>
      <c r="J5" s="128"/>
      <c r="K5" s="40"/>
      <c r="L5" s="40"/>
      <c r="M5" s="40"/>
      <c r="N5" s="40"/>
      <c r="O5" s="40"/>
      <c r="P5" s="40"/>
    </row>
    <row r="6" spans="1:17" ht="9" customHeight="1" thickBot="1" x14ac:dyDescent="0.4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</row>
    <row r="7" spans="1:17" ht="20.149999999999999" customHeight="1" x14ac:dyDescent="0.35">
      <c r="A7" s="187" t="s">
        <v>2</v>
      </c>
      <c r="B7" s="189" t="s">
        <v>3</v>
      </c>
      <c r="C7" s="76" t="s">
        <v>4</v>
      </c>
      <c r="D7" s="189" t="s">
        <v>5</v>
      </c>
      <c r="E7" s="76" t="s">
        <v>6</v>
      </c>
      <c r="F7" s="76" t="s">
        <v>7</v>
      </c>
      <c r="G7" s="201" t="s">
        <v>8</v>
      </c>
      <c r="H7" s="201"/>
      <c r="I7" s="191" t="s">
        <v>9</v>
      </c>
      <c r="J7" s="191" t="s">
        <v>10</v>
      </c>
      <c r="K7" s="122" t="s">
        <v>11</v>
      </c>
      <c r="L7" s="194" t="s">
        <v>12</v>
      </c>
      <c r="M7" s="194" t="s">
        <v>13</v>
      </c>
      <c r="N7" s="76"/>
      <c r="O7" s="124" t="s">
        <v>14</v>
      </c>
      <c r="P7" s="197" t="s">
        <v>15</v>
      </c>
      <c r="Q7" s="112"/>
    </row>
    <row r="8" spans="1:17" ht="20.149999999999999" customHeight="1" thickBot="1" x14ac:dyDescent="0.4">
      <c r="A8" s="188"/>
      <c r="B8" s="190"/>
      <c r="C8" s="77" t="s">
        <v>16</v>
      </c>
      <c r="D8" s="190"/>
      <c r="E8" s="77" t="s">
        <v>17</v>
      </c>
      <c r="F8" s="77" t="s">
        <v>18</v>
      </c>
      <c r="G8" s="202" t="s">
        <v>19</v>
      </c>
      <c r="H8" s="203"/>
      <c r="I8" s="192"/>
      <c r="J8" s="193"/>
      <c r="K8" s="123"/>
      <c r="L8" s="195"/>
      <c r="M8" s="196"/>
      <c r="N8" s="77"/>
      <c r="O8" s="125" t="s">
        <v>20</v>
      </c>
      <c r="P8" s="198"/>
      <c r="Q8" s="112"/>
    </row>
    <row r="9" spans="1:17" ht="15" customHeight="1" thickTop="1" x14ac:dyDescent="0.35">
      <c r="A9" s="78">
        <v>1</v>
      </c>
      <c r="B9" s="79" t="str">
        <f>'Permohonan Perjadin'!C15</f>
        <v>Dr. Ir. I Ketut Kariyasa, M.Si.</v>
      </c>
      <c r="C9" s="129" t="s">
        <v>21</v>
      </c>
      <c r="D9" s="135" t="str">
        <f>'Permohonan Perjadin'!E22</f>
        <v>Jakarta</v>
      </c>
      <c r="E9" s="80" t="str">
        <f>'Permohonan Perjadin'!E26</f>
        <v xml:space="preserve">30 September 2026 </v>
      </c>
      <c r="F9" s="80" t="str">
        <f>'Permohonan Perjadin'!H26</f>
        <v>1 Oktober 2026</v>
      </c>
      <c r="G9" s="81">
        <v>2</v>
      </c>
      <c r="H9" s="121" t="s">
        <v>22</v>
      </c>
      <c r="I9" s="100">
        <v>530000</v>
      </c>
      <c r="J9" s="120">
        <f>G9*I9</f>
        <v>1060000</v>
      </c>
      <c r="K9" s="100"/>
      <c r="L9" s="101"/>
      <c r="M9" s="100"/>
      <c r="N9" s="100"/>
      <c r="O9" s="100">
        <f>150000*2</f>
        <v>300000</v>
      </c>
      <c r="P9" s="102">
        <f>SUM(J9:O9)</f>
        <v>1360000</v>
      </c>
      <c r="Q9" s="113"/>
    </row>
    <row r="10" spans="1:17" ht="15" customHeight="1" x14ac:dyDescent="0.35">
      <c r="A10" s="82">
        <v>2</v>
      </c>
      <c r="B10" s="83" t="str">
        <f>'Permohonan Perjadin'!C16</f>
        <v>Hamdan Mubarok</v>
      </c>
      <c r="C10" s="130" t="s">
        <v>21</v>
      </c>
      <c r="D10" s="84" t="str">
        <f>'Permohonan Perjadin'!E22</f>
        <v>Jakarta</v>
      </c>
      <c r="E10" s="134" t="str">
        <f>'Permohonan Perjadin'!E26</f>
        <v xml:space="preserve">30 September 2026 </v>
      </c>
      <c r="F10" s="85" t="str">
        <f>F9</f>
        <v>1 Oktober 2026</v>
      </c>
      <c r="G10" s="86">
        <v>2</v>
      </c>
      <c r="H10" s="118" t="str">
        <f>H9</f>
        <v>Hari</v>
      </c>
      <c r="I10" s="101">
        <v>200000</v>
      </c>
      <c r="J10" s="119">
        <f>G10*I10</f>
        <v>400000</v>
      </c>
      <c r="K10" s="101"/>
      <c r="L10" s="143">
        <f>565000+565000</f>
        <v>1130000</v>
      </c>
      <c r="M10" s="101"/>
      <c r="N10" s="101"/>
      <c r="O10" s="101"/>
      <c r="P10" s="103">
        <f>SUM(J10:O10)</f>
        <v>1530000</v>
      </c>
      <c r="Q10" s="113"/>
    </row>
    <row r="11" spans="1:17" ht="15" customHeight="1" x14ac:dyDescent="0.35">
      <c r="A11" s="82"/>
      <c r="B11" s="83"/>
      <c r="C11" s="130"/>
      <c r="D11" s="84"/>
      <c r="E11" s="134"/>
      <c r="F11" s="85"/>
      <c r="G11" s="86"/>
      <c r="H11" s="118"/>
      <c r="I11" s="101"/>
      <c r="J11" s="119"/>
      <c r="K11" s="101"/>
      <c r="L11" s="144"/>
      <c r="M11" s="101"/>
      <c r="N11" s="101"/>
      <c r="O11" s="101"/>
      <c r="P11" s="103"/>
      <c r="Q11" s="113"/>
    </row>
    <row r="12" spans="1:17" ht="15" customHeight="1" x14ac:dyDescent="0.35">
      <c r="A12" s="82"/>
      <c r="B12" s="83"/>
      <c r="C12" s="130"/>
      <c r="D12" s="84"/>
      <c r="E12" s="134"/>
      <c r="F12" s="85"/>
      <c r="G12" s="86"/>
      <c r="H12" s="118"/>
      <c r="I12" s="101"/>
      <c r="J12" s="119"/>
      <c r="K12" s="101"/>
      <c r="L12" s="143"/>
      <c r="M12" s="101"/>
      <c r="N12" s="101"/>
      <c r="O12" s="101"/>
      <c r="P12" s="103"/>
      <c r="Q12" s="113"/>
    </row>
    <row r="13" spans="1:17" ht="15" customHeight="1" thickBot="1" x14ac:dyDescent="0.4">
      <c r="A13" s="87"/>
      <c r="B13" s="88"/>
      <c r="C13" s="89"/>
      <c r="D13" s="89"/>
      <c r="E13" s="90"/>
      <c r="F13" s="90"/>
      <c r="G13" s="91"/>
      <c r="H13" s="92"/>
      <c r="I13" s="104"/>
      <c r="J13" s="104"/>
      <c r="K13" s="104"/>
      <c r="L13" s="104"/>
      <c r="M13" s="104"/>
      <c r="N13" s="104"/>
      <c r="O13" s="104"/>
      <c r="P13" s="105"/>
      <c r="Q13" s="112"/>
    </row>
    <row r="14" spans="1:17" ht="27" customHeight="1" thickTop="1" thickBot="1" x14ac:dyDescent="0.4">
      <c r="A14" s="93"/>
      <c r="B14" s="94" t="s">
        <v>10</v>
      </c>
      <c r="C14" s="95"/>
      <c r="D14" s="95"/>
      <c r="E14" s="133"/>
      <c r="F14" s="95"/>
      <c r="G14" s="96"/>
      <c r="H14" s="97"/>
      <c r="I14" s="106"/>
      <c r="J14" s="107">
        <f>SUM(J9:J13)</f>
        <v>1460000</v>
      </c>
      <c r="K14" s="107">
        <f>SUM(K9:K13)</f>
        <v>0</v>
      </c>
      <c r="L14" s="107">
        <f>SUM(L9:L13)</f>
        <v>1130000</v>
      </c>
      <c r="M14" s="107">
        <f>SUM(M9:M13)</f>
        <v>0</v>
      </c>
      <c r="N14" s="107"/>
      <c r="O14" s="107">
        <f>SUM(O9:O13)</f>
        <v>300000</v>
      </c>
      <c r="P14" s="108">
        <f>SUM(J14:O14)</f>
        <v>2890000</v>
      </c>
      <c r="Q14" s="114"/>
    </row>
    <row r="15" spans="1:17" ht="15" thickTop="1" x14ac:dyDescent="0.3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112"/>
    </row>
    <row r="16" spans="1:17" x14ac:dyDescent="0.35">
      <c r="A16" s="40"/>
      <c r="B16" s="40" t="s">
        <v>23</v>
      </c>
      <c r="C16" s="40"/>
      <c r="D16" s="40"/>
      <c r="E16" s="40"/>
      <c r="F16" s="40"/>
      <c r="G16" s="40"/>
      <c r="H16" s="40"/>
      <c r="I16" s="109"/>
      <c r="J16" s="40"/>
      <c r="K16" s="40"/>
      <c r="L16" s="40"/>
      <c r="M16" s="40"/>
      <c r="N16" s="40" t="str">
        <f>'Permohonan Perjadin'!H29</f>
        <v>Bogor, 30 September 2026</v>
      </c>
      <c r="O16" s="110"/>
      <c r="P16" s="40"/>
      <c r="Q16" s="115"/>
    </row>
    <row r="17" spans="1:18" x14ac:dyDescent="0.35">
      <c r="A17" s="40"/>
      <c r="B17" s="40" t="s">
        <v>24</v>
      </c>
      <c r="C17" s="40"/>
      <c r="D17" s="40"/>
      <c r="E17" s="40"/>
      <c r="F17" s="40"/>
      <c r="G17" s="40"/>
      <c r="H17" s="40"/>
      <c r="I17" s="109"/>
      <c r="J17" s="40"/>
      <c r="K17" s="40"/>
      <c r="L17" s="40"/>
      <c r="M17" s="40"/>
      <c r="N17" s="40" t="s">
        <v>25</v>
      </c>
      <c r="O17" s="40"/>
      <c r="P17" s="40"/>
      <c r="Q17" s="115"/>
      <c r="R17" s="116"/>
    </row>
    <row r="18" spans="1:18" x14ac:dyDescent="0.35">
      <c r="A18" s="40"/>
      <c r="B18" s="40"/>
      <c r="C18" s="40"/>
      <c r="D18" s="40"/>
      <c r="E18" s="40"/>
      <c r="F18" s="40"/>
      <c r="G18" s="40"/>
      <c r="H18" s="40"/>
      <c r="I18" s="111"/>
      <c r="J18" s="40"/>
      <c r="K18" s="40"/>
      <c r="L18" s="40"/>
      <c r="M18" s="40"/>
      <c r="N18" s="40" t="s">
        <v>26</v>
      </c>
      <c r="O18" s="40"/>
      <c r="P18" s="40"/>
      <c r="Q18" s="112"/>
      <c r="R18" s="116"/>
    </row>
    <row r="19" spans="1:18" x14ac:dyDescent="0.35">
      <c r="A19" s="40"/>
      <c r="B19" s="40"/>
      <c r="C19" s="40"/>
      <c r="D19" s="40"/>
      <c r="E19" s="40"/>
      <c r="F19" s="40"/>
      <c r="G19" s="40"/>
      <c r="H19" s="40"/>
      <c r="I19" s="109"/>
      <c r="J19" s="40"/>
      <c r="K19" s="40"/>
      <c r="L19" s="40"/>
      <c r="M19" s="40"/>
      <c r="N19" s="40"/>
      <c r="O19" s="40"/>
      <c r="P19" s="40"/>
      <c r="Q19" s="113"/>
      <c r="R19" s="116"/>
    </row>
    <row r="20" spans="1:18" x14ac:dyDescent="0.35">
      <c r="A20" s="40"/>
      <c r="B20" s="40"/>
      <c r="C20" s="40"/>
      <c r="D20" s="40"/>
      <c r="E20" s="40"/>
      <c r="F20" s="40"/>
      <c r="G20" s="40"/>
      <c r="H20" s="40"/>
      <c r="I20" s="109"/>
      <c r="J20" s="40"/>
      <c r="K20" s="40"/>
      <c r="L20" s="40"/>
      <c r="M20" s="40"/>
      <c r="N20" s="40"/>
      <c r="O20" s="40"/>
      <c r="P20" s="40"/>
      <c r="Q20" s="113"/>
      <c r="R20" s="116"/>
    </row>
    <row r="21" spans="1:18" x14ac:dyDescent="0.35">
      <c r="A21" s="40"/>
      <c r="B21" s="40"/>
      <c r="C21" s="40"/>
      <c r="D21" s="40"/>
      <c r="E21" s="40"/>
      <c r="F21" s="40"/>
      <c r="G21" s="40"/>
      <c r="H21" s="40"/>
      <c r="I21" s="109"/>
      <c r="J21" s="40"/>
      <c r="K21" s="40"/>
      <c r="L21" s="40"/>
      <c r="M21" s="40"/>
      <c r="N21" s="40"/>
      <c r="O21" s="40"/>
      <c r="P21" s="40"/>
      <c r="R21" s="116"/>
    </row>
    <row r="22" spans="1:18" x14ac:dyDescent="0.3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R22" s="116"/>
    </row>
    <row r="23" spans="1:18" x14ac:dyDescent="0.35">
      <c r="A23" s="40"/>
      <c r="B23" s="98" t="str">
        <f>'Permohonan Perjadin'!B35</f>
        <v>Rifki Zainaldi, S.E., M.M</v>
      </c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204" t="str">
        <f>'Permohonan Perjadin'!H35</f>
        <v>Dr. Ir. I Ketut Kariyasa, M.Si</v>
      </c>
      <c r="O23" s="204"/>
      <c r="P23" s="204"/>
      <c r="R23" s="116"/>
    </row>
    <row r="24" spans="1:18" x14ac:dyDescent="0.35">
      <c r="A24" s="40"/>
      <c r="B24" s="40" t="str">
        <f>'Permohonan Perjadin'!B36</f>
        <v>NIP. 197712072011011002</v>
      </c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186" t="str">
        <f>'Permohonan Perjadin'!H36</f>
        <v>NIP. 196904191998031002</v>
      </c>
      <c r="O24" s="186"/>
      <c r="P24" s="186"/>
      <c r="R24" s="116"/>
    </row>
    <row r="31" spans="1:18" x14ac:dyDescent="0.35">
      <c r="D31" s="99"/>
    </row>
    <row r="32" spans="1:18" x14ac:dyDescent="0.35">
      <c r="D32" s="99"/>
    </row>
    <row r="33" spans="4:4" x14ac:dyDescent="0.35">
      <c r="D33" s="99"/>
    </row>
    <row r="34" spans="4:4" x14ac:dyDescent="0.35">
      <c r="D34" s="99"/>
    </row>
    <row r="35" spans="4:4" x14ac:dyDescent="0.35">
      <c r="D35" s="99"/>
    </row>
    <row r="36" spans="4:4" x14ac:dyDescent="0.35">
      <c r="D36" s="99"/>
    </row>
  </sheetData>
  <mergeCells count="15">
    <mergeCell ref="A2:P2"/>
    <mergeCell ref="A3:P3"/>
    <mergeCell ref="A4:P4"/>
    <mergeCell ref="G7:H7"/>
    <mergeCell ref="G8:H8"/>
    <mergeCell ref="N23:P23"/>
    <mergeCell ref="N24:P24"/>
    <mergeCell ref="A7:A8"/>
    <mergeCell ref="B7:B8"/>
    <mergeCell ref="D7:D8"/>
    <mergeCell ref="I7:I8"/>
    <mergeCell ref="J7:J8"/>
    <mergeCell ref="L7:L8"/>
    <mergeCell ref="M7:M8"/>
    <mergeCell ref="P7:P8"/>
  </mergeCells>
  <phoneticPr fontId="23" type="noConversion"/>
  <pageMargins left="0.55118110236220474" right="3.937007874015748E-2" top="0.74803149606299213" bottom="0.74803149606299213" header="0.31496062992125984" footer="0.31496062992125984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Surat Tugas</vt:lpstr>
      <vt:lpstr>Permohonan Perjadin</vt:lpstr>
      <vt:lpstr>Lampiran</vt:lpstr>
      <vt:lpstr>Lampiran!Print_Area</vt:lpstr>
      <vt:lpstr>'Surat Tugas'!Print_Area</vt:lpstr>
    </vt:vector>
  </TitlesOfParts>
  <Company>WINDOWS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cp:lastModifiedBy>user</cp:lastModifiedBy>
  <cp:lastPrinted>2026-10-01T03:00:21Z</cp:lastPrinted>
  <dcterms:created xsi:type="dcterms:W3CDTF">2010-11-26T07:09:14Z</dcterms:created>
  <dcterms:modified xsi:type="dcterms:W3CDTF">2026-10-03T03:47:23Z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F1763613AA674C268FCC80CAEBF32DDD_13</vt:lpwstr>
  </property>
  <property fmtid="{D5CDD505-2E9C-101B-9397-08002B2CF9AE}" pid="3" name="KSOProductBuildVer">
    <vt:lpwstr>1033-12.2.0.23131</vt:lpwstr>
  </property>
</Properties>
</file>